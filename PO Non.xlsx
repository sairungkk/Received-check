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check item\"/>
    </mc:Choice>
  </mc:AlternateContent>
  <xr:revisionPtr revIDLastSave="0" documentId="13_ncr:1_{3DA6B5ED-897C-49E1-8709-8488B733BF35}" xr6:coauthVersionLast="47" xr6:coauthVersionMax="47" xr10:uidLastSave="{00000000-0000-0000-0000-000000000000}"/>
  <bookViews>
    <workbookView xWindow="-120" yWindow="-120" windowWidth="29040" windowHeight="15720" xr2:uid="{3736DA5A-44D3-4DA8-B2A5-268F45508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12" i="1"/>
  <c r="J209" i="1" s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6" i="1"/>
  <c r="H202" i="1"/>
  <c r="F202" i="1"/>
  <c r="J202" i="1" s="1"/>
  <c r="J203" i="1" l="1"/>
  <c r="L202" i="1"/>
</calcChain>
</file>

<file path=xl/sharedStrings.xml><?xml version="1.0" encoding="utf-8"?>
<sst xmlns="http://schemas.openxmlformats.org/spreadsheetml/2006/main" count="83" uniqueCount="67">
  <si>
    <t xml:space="preserve"> </t>
  </si>
  <si>
    <t xml:space="preserve">  ชื่อผู้ขาย  </t>
  </si>
  <si>
    <t xml:space="preserve">  เลขที่ใบสั่งซื้อ </t>
  </si>
  <si>
    <t xml:space="preserve">  Supplier's name</t>
  </si>
  <si>
    <t>ลำดับที่</t>
  </si>
  <si>
    <t xml:space="preserve">   รายการ</t>
  </si>
  <si>
    <t>ปริมาณ</t>
  </si>
  <si>
    <t>หน่วยนับ</t>
  </si>
  <si>
    <t xml:space="preserve">      ราคา/หน่วย</t>
  </si>
  <si>
    <t>No.</t>
  </si>
  <si>
    <t xml:space="preserve">     Description</t>
  </si>
  <si>
    <t>Quantity</t>
  </si>
  <si>
    <t>Unit</t>
  </si>
  <si>
    <t xml:space="preserve">        Unit Price</t>
  </si>
  <si>
    <t>piece</t>
  </si>
  <si>
    <r>
      <t>เงื่อนไข</t>
    </r>
    <r>
      <rPr>
        <sz val="14"/>
        <rFont val="Angsana New"/>
        <family val="1"/>
      </rPr>
      <t xml:space="preserve"> </t>
    </r>
  </si>
  <si>
    <t>รวมราคาสินค้า</t>
  </si>
  <si>
    <t>1.ผู้ขายตกลงส่งมอบสินค้าให้แก่ผู้ซื้อ ณ...........................ภายในวันที่..........................</t>
  </si>
  <si>
    <t>SubTotal</t>
  </si>
  <si>
    <t>2.หากสินค้าที่ผู้ขายส่งมอบไม่ตรงตามที่ระบุไว้ในใบเสนอราคาหรือมีความชำรุด</t>
  </si>
  <si>
    <t>ส่วนลด</t>
  </si>
  <si>
    <t xml:space="preserve">   บกพร่องหรือไม่เหมาะสมในการใช้งาน ผู้ซื้อมีสิทธิปฏิเสธไม่รับสินค้า และผู้ขายต้อง</t>
  </si>
  <si>
    <t>Discount</t>
  </si>
  <si>
    <t xml:space="preserve">   นำสินค้ามาส่งมอบให้ถูกต้องด้วยค่าใช้จ่ายของผู้ขายเอง หรือผู้ซื้ออาจใช้สิทธิบอกเลิก</t>
  </si>
  <si>
    <t>รวมราคาทั้งหมด</t>
  </si>
  <si>
    <t xml:space="preserve">   การซื้อ ทั้งนี้ไม่ว่าผู้ซื้อจะใช้สิทธิเลือกอย่างใดย่อมไม่เป็นการตัดสิทธิในการเรียก</t>
  </si>
  <si>
    <t>Grand Total</t>
  </si>
  <si>
    <t xml:space="preserve">   ค่าเสียหายจากผู้ขาย</t>
  </si>
  <si>
    <t>ภาษีมูลค่าเพิ่ม 7%</t>
  </si>
  <si>
    <t xml:space="preserve">3.ผู้ขายตกลงรับประกันสินค้าเป็นเวลา........ ปี </t>
  </si>
  <si>
    <t>VAT 7%</t>
  </si>
  <si>
    <t>4.ผู้ซื้อตกลงชำระเงินให้แก่ผู้ขายภายใน.......วัน นับตั้งแต่วันที่ผู้ซื้อได้ตรวจรับสินค้า</t>
  </si>
  <si>
    <t>จำนวนเงินรวม</t>
  </si>
  <si>
    <t xml:space="preserve">   และมีการเรียกเก็บเงินจากผู้ขาย</t>
  </si>
  <si>
    <t>Total</t>
  </si>
  <si>
    <t xml:space="preserve">                                                                          </t>
  </si>
  <si>
    <t xml:space="preserve"> ใบสั่งซื้อฉบับนี้จะสมบูรณ์ก็ต่อเมื่อมีลายเซ็นต์</t>
  </si>
  <si>
    <t xml:space="preserve">                            ผู้อนุมัติ</t>
  </si>
  <si>
    <t xml:space="preserve">                                  ผู้อนุมัติ</t>
  </si>
  <si>
    <t xml:space="preserve"> ผู้รับมอบอำนาจของบริษัทเท่านั้น</t>
  </si>
  <si>
    <t xml:space="preserve">                  Approved by</t>
  </si>
  <si>
    <t xml:space="preserve">                               Approved by</t>
  </si>
  <si>
    <t xml:space="preserve"> This Purchase Order shall be effective </t>
  </si>
  <si>
    <t xml:space="preserve">                                         Pierre-Yves VIOU</t>
  </si>
  <si>
    <t xml:space="preserve">                คุณเขต หวั่งหลี </t>
  </si>
  <si>
    <t xml:space="preserve">                General Manager</t>
  </si>
  <si>
    <t xml:space="preserve"> in case of having authorized signature only</t>
  </si>
  <si>
    <t xml:space="preserve">       </t>
  </si>
  <si>
    <t xml:space="preserve"> /        /</t>
  </si>
  <si>
    <t xml:space="preserve">   /</t>
  </si>
  <si>
    <t>รูปสินค้า</t>
  </si>
  <si>
    <t>Photo</t>
  </si>
  <si>
    <t>รับของ</t>
  </si>
  <si>
    <t>Received</t>
  </si>
  <si>
    <t>ของค้างส่ง</t>
  </si>
  <si>
    <t>Incomplete</t>
  </si>
  <si>
    <t>วันที่รับของ</t>
  </si>
  <si>
    <t>Received BY</t>
  </si>
  <si>
    <t>Damage/Defect</t>
  </si>
  <si>
    <t>เสียหาย/ชำรุด</t>
  </si>
  <si>
    <t>หมายเหตุ</t>
  </si>
  <si>
    <t>Remark</t>
  </si>
  <si>
    <t/>
  </si>
  <si>
    <t>Code</t>
  </si>
  <si>
    <t>โค๊ดสินค้า</t>
  </si>
  <si>
    <t>จำนวนเงิน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</si>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</sst>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00000"/>
  </numFmts>
  <fonts count="16" x14ac:knownFonts="1">
    <font>
      <sz val="11"/>
      <color theme="1"/>
      <name val="Calibri"/>
      <family val="2"/>
      <scheme val="minor"/>
    </font>
    <font>
      <sz val="16"/>
      <color theme="1"/>
      <name val="Cordia New"/>
      <family val="2"/>
    </font>
    <font>
      <sz val="16"/>
      <color theme="1"/>
      <name val="Angsana New"/>
      <family val="1"/>
    </font>
    <font>
      <b/>
      <sz val="12"/>
      <name val="Angsana New"/>
      <family val="1"/>
    </font>
    <font>
      <sz val="16"/>
      <name val="Angsana New"/>
      <family val="1"/>
    </font>
    <font>
      <b/>
      <sz val="14"/>
      <name val="Angsana New"/>
      <family val="1"/>
    </font>
    <font>
      <sz val="14"/>
      <name val="Angsana New"/>
      <family val="1"/>
    </font>
    <font>
      <u/>
      <sz val="14"/>
      <name val="Angsana New"/>
      <family val="1"/>
    </font>
    <font>
      <sz val="14"/>
      <color theme="1"/>
      <name val="Angsana New"/>
      <family val="1"/>
    </font>
    <font>
      <b/>
      <sz val="13"/>
      <name val="AngsanaUPC"/>
      <family val="1"/>
    </font>
    <font>
      <sz val="14"/>
      <name val="AngsanaUPC"/>
      <family val="1"/>
      <charset val="222"/>
    </font>
    <font>
      <sz val="16"/>
      <name val="AngsanaUPC"/>
      <family val="1"/>
      <charset val="222"/>
    </font>
    <font>
      <sz val="13"/>
      <name val="AngsanaUPC"/>
      <family val="1"/>
      <charset val="222"/>
    </font>
    <font>
      <b/>
      <sz val="14"/>
      <name val="Angsana New"/>
    </font>
    <font>
      <sz val="13"/>
      <name val="Angsana New"/>
      <family val="1"/>
    </font>
    <font>
      <sz val="13"/>
      <color theme="1"/>
      <name val="AngsanaUPC"/>
      <family val="1"/>
      <charset val="22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2" xfId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43" fontId="2" fillId="0" borderId="0" xfId="2" applyFont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2" fillId="0" borderId="3" xfId="1" quotePrefix="1" applyFont="1" applyBorder="1" applyAlignment="1">
      <alignment horizontal="left" vertical="top"/>
    </xf>
    <xf numFmtId="0" fontId="2" fillId="0" borderId="3" xfId="1" applyFont="1" applyBorder="1" applyAlignment="1">
      <alignment vertical="center"/>
    </xf>
    <xf numFmtId="0" fontId="6" fillId="0" borderId="0" xfId="1" applyFont="1" applyAlignment="1">
      <alignment horizontal="left" vertical="center"/>
    </xf>
    <xf numFmtId="0" fontId="2" fillId="0" borderId="0" xfId="1" applyFont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12" xfId="1" applyFont="1" applyBorder="1" applyAlignment="1">
      <alignment horizontal="center" vertical="top"/>
    </xf>
    <xf numFmtId="0" fontId="2" fillId="0" borderId="12" xfId="1" applyFont="1" applyBorder="1" applyAlignment="1">
      <alignment vertical="top"/>
    </xf>
    <xf numFmtId="0" fontId="2" fillId="0" borderId="0" xfId="1" applyFont="1" applyAlignment="1">
      <alignment horizontal="left" vertical="top"/>
    </xf>
    <xf numFmtId="0" fontId="3" fillId="0" borderId="4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13" xfId="1" applyFont="1" applyBorder="1" applyAlignment="1">
      <alignment vertical="center"/>
    </xf>
    <xf numFmtId="0" fontId="4" fillId="0" borderId="14" xfId="1" applyFont="1" applyBorder="1" applyAlignment="1">
      <alignment horizontal="center" vertical="center"/>
    </xf>
    <xf numFmtId="165" fontId="4" fillId="0" borderId="15" xfId="1" applyNumberFormat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43" fontId="11" fillId="0" borderId="16" xfId="2" quotePrefix="1" applyFont="1" applyBorder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6" fillId="0" borderId="17" xfId="1" applyFont="1" applyBorder="1" applyAlignment="1">
      <alignment horizontal="center" vertical="center"/>
    </xf>
    <xf numFmtId="165" fontId="6" fillId="0" borderId="18" xfId="1" applyNumberFormat="1" applyFont="1" applyBorder="1" applyAlignment="1">
      <alignment horizontal="center" vertical="center"/>
    </xf>
    <xf numFmtId="3" fontId="10" fillId="0" borderId="16" xfId="1" quotePrefix="1" applyNumberFormat="1" applyFont="1" applyBorder="1" applyAlignment="1">
      <alignment horizontal="center" vertical="center"/>
    </xf>
    <xf numFmtId="43" fontId="10" fillId="0" borderId="18" xfId="2" applyFont="1" applyBorder="1" applyAlignment="1">
      <alignment horizontal="right" vertical="center"/>
    </xf>
    <xf numFmtId="0" fontId="4" fillId="0" borderId="17" xfId="1" applyFont="1" applyBorder="1" applyAlignment="1">
      <alignment horizontal="center" vertical="center"/>
    </xf>
    <xf numFmtId="165" fontId="4" fillId="0" borderId="18" xfId="1" applyNumberFormat="1" applyFont="1" applyBorder="1" applyAlignment="1">
      <alignment horizontal="center" vertical="center"/>
    </xf>
    <xf numFmtId="3" fontId="11" fillId="0" borderId="16" xfId="1" quotePrefix="1" applyNumberFormat="1" applyFont="1" applyBorder="1" applyAlignment="1">
      <alignment horizontal="center" vertical="center"/>
    </xf>
    <xf numFmtId="43" fontId="11" fillId="0" borderId="18" xfId="2" applyFont="1" applyBorder="1" applyAlignment="1">
      <alignment horizontal="right" vertical="center"/>
    </xf>
    <xf numFmtId="0" fontId="4" fillId="0" borderId="19" xfId="1" applyFont="1" applyBorder="1" applyAlignment="1">
      <alignment horizontal="center" vertical="center"/>
    </xf>
    <xf numFmtId="165" fontId="4" fillId="0" borderId="20" xfId="1" applyNumberFormat="1" applyFont="1" applyBorder="1" applyAlignment="1">
      <alignment horizontal="center" vertical="center"/>
    </xf>
    <xf numFmtId="3" fontId="11" fillId="0" borderId="20" xfId="1" applyNumberFormat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7" fillId="0" borderId="3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top"/>
    </xf>
    <xf numFmtId="0" fontId="8" fillId="0" borderId="0" xfId="1" applyFont="1" applyAlignment="1">
      <alignment horizontal="center" vertical="center"/>
    </xf>
    <xf numFmtId="0" fontId="7" fillId="0" borderId="4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2" fillId="0" borderId="9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6" fillId="0" borderId="0" xfId="1" applyFont="1"/>
    <xf numFmtId="0" fontId="2" fillId="0" borderId="8" xfId="1" applyFont="1" applyBorder="1" applyAlignment="1">
      <alignment horizontal="left" vertical="center"/>
    </xf>
    <xf numFmtId="43" fontId="2" fillId="0" borderId="0" xfId="1" applyNumberFormat="1" applyFont="1" applyAlignment="1">
      <alignment horizontal="left" vertical="center"/>
    </xf>
    <xf numFmtId="43" fontId="2" fillId="0" borderId="0" xfId="3" applyNumberFormat="1" applyFont="1" applyAlignment="1">
      <alignment horizontal="left" vertical="center"/>
    </xf>
    <xf numFmtId="9" fontId="2" fillId="0" borderId="0" xfId="3" applyFont="1" applyAlignment="1">
      <alignment horizontal="left" vertical="center"/>
    </xf>
    <xf numFmtId="3" fontId="2" fillId="0" borderId="0" xfId="1" applyNumberFormat="1" applyFont="1" applyAlignment="1">
      <alignment horizontal="left" vertical="center"/>
    </xf>
    <xf numFmtId="0" fontId="2" fillId="0" borderId="0" xfId="1" quotePrefix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7" fillId="0" borderId="5" xfId="1" applyFont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2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center"/>
    </xf>
    <xf numFmtId="43" fontId="4" fillId="0" borderId="16" xfId="0" applyNumberFormat="1" applyFont="1" applyBorder="1" applyAlignment="1">
      <alignment horizontal="center" vertical="center"/>
    </xf>
    <xf numFmtId="43" fontId="6" fillId="0" borderId="18" xfId="0" applyNumberFormat="1" applyFont="1" applyBorder="1" applyAlignment="1">
      <alignment horizontal="center" vertical="center"/>
    </xf>
    <xf numFmtId="43" fontId="11" fillId="0" borderId="20" xfId="2" applyFont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6" fillId="0" borderId="7" xfId="1" quotePrefix="1" applyFont="1" applyBorder="1" applyAlignment="1">
      <alignment vertical="center"/>
    </xf>
    <xf numFmtId="0" fontId="6" fillId="0" borderId="7" xfId="1" applyFont="1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43" fontId="4" fillId="0" borderId="0" xfId="2" applyFont="1" applyBorder="1" applyAlignment="1">
      <alignment horizontal="center" vertical="center"/>
    </xf>
    <xf numFmtId="3" fontId="4" fillId="0" borderId="0" xfId="1" applyNumberFormat="1" applyFont="1" applyAlignment="1">
      <alignment horizontal="center" vertical="center"/>
    </xf>
    <xf numFmtId="4" fontId="4" fillId="0" borderId="0" xfId="1" applyNumberFormat="1" applyFont="1" applyAlignment="1">
      <alignment horizontal="right" vertical="center"/>
    </xf>
    <xf numFmtId="164" fontId="2" fillId="0" borderId="0" xfId="0" applyNumberFormat="1" applyFont="1" applyAlignment="1">
      <alignment horizontal="left" vertical="center"/>
    </xf>
    <xf numFmtId="43" fontId="2" fillId="0" borderId="0" xfId="0" applyNumberFormat="1" applyFont="1" applyAlignment="1">
      <alignment horizontal="left" vertical="center"/>
    </xf>
    <xf numFmtId="3" fontId="11" fillId="0" borderId="20" xfId="0" applyNumberFormat="1" applyFont="1" applyBorder="1" applyAlignment="1">
      <alignment horizontal="center" vertical="center"/>
    </xf>
    <xf numFmtId="165" fontId="14" fillId="0" borderId="18" xfId="1" applyNumberFormat="1" applyFont="1" applyBorder="1" applyAlignment="1">
      <alignment horizontal="center" vertical="center"/>
    </xf>
    <xf numFmtId="3" fontId="12" fillId="0" borderId="16" xfId="1" quotePrefix="1" applyNumberFormat="1" applyFont="1" applyBorder="1" applyAlignment="1">
      <alignment horizontal="center" vertical="center"/>
    </xf>
    <xf numFmtId="1" fontId="15" fillId="0" borderId="21" xfId="0" applyNumberFormat="1" applyFont="1" applyBorder="1" applyAlignment="1">
      <alignment horizontal="center"/>
    </xf>
    <xf numFmtId="1" fontId="15" fillId="0" borderId="18" xfId="0" applyNumberFormat="1" applyFont="1" applyBorder="1" applyAlignment="1">
      <alignment horizontal="center"/>
    </xf>
    <xf numFmtId="43" fontId="12" fillId="0" borderId="18" xfId="2" applyFont="1" applyBorder="1" applyAlignment="1">
      <alignment horizontal="right" vertical="center"/>
    </xf>
    <xf numFmtId="0" fontId="10" fillId="0" borderId="17" xfId="1" quotePrefix="1" applyFont="1" applyBorder="1" applyAlignment="1">
      <alignment horizontal="left" vertical="center" wrapText="1"/>
    </xf>
    <xf numFmtId="0" fontId="10" fillId="0" borderId="17" xfId="1" quotePrefix="1" applyFont="1" applyBorder="1" applyAlignment="1">
      <alignment vertical="center" wrapText="1"/>
    </xf>
    <xf numFmtId="0" fontId="2" fillId="0" borderId="10" xfId="1" applyFont="1" applyBorder="1" applyAlignment="1">
      <alignment vertical="top"/>
    </xf>
    <xf numFmtId="0" fontId="2" fillId="0" borderId="4" xfId="1" applyFont="1" applyBorder="1" applyAlignment="1">
      <alignment horizontal="center" vertical="center"/>
    </xf>
    <xf numFmtId="0" fontId="9" fillId="0" borderId="14" xfId="1" applyFont="1" applyBorder="1" applyAlignment="1">
      <alignment horizontal="left" vertical="center" wrapText="1"/>
    </xf>
    <xf numFmtId="0" fontId="12" fillId="0" borderId="19" xfId="1" quotePrefix="1" applyFont="1" applyBorder="1" applyAlignment="1">
      <alignment horizontal="left" vertical="center" wrapText="1"/>
    </xf>
    <xf numFmtId="43" fontId="6" fillId="0" borderId="17" xfId="1" applyNumberFormat="1" applyFont="1" applyBorder="1" applyAlignment="1">
      <alignment vertical="center"/>
    </xf>
    <xf numFmtId="43" fontId="4" fillId="0" borderId="19" xfId="1" applyNumberFormat="1" applyFont="1" applyBorder="1" applyAlignment="1">
      <alignment vertical="center"/>
    </xf>
    <xf numFmtId="43" fontId="4" fillId="0" borderId="14" xfId="1" applyNumberFormat="1" applyFont="1" applyBorder="1" applyAlignment="1">
      <alignment vertical="center"/>
    </xf>
    <xf numFmtId="43" fontId="4" fillId="0" borderId="22" xfId="2" applyFont="1" applyBorder="1" applyAlignment="1">
      <alignment vertical="center"/>
    </xf>
    <xf numFmtId="43" fontId="4" fillId="0" borderId="1" xfId="2" applyFont="1" applyBorder="1" applyAlignment="1">
      <alignment vertical="center"/>
    </xf>
    <xf numFmtId="4" fontId="4" fillId="0" borderId="8" xfId="1" applyNumberFormat="1" applyFont="1" applyBorder="1" applyAlignment="1">
      <alignment vertical="center"/>
    </xf>
    <xf numFmtId="3" fontId="4" fillId="0" borderId="8" xfId="1" applyNumberFormat="1" applyFont="1" applyBorder="1" applyAlignment="1">
      <alignment vertical="center"/>
    </xf>
    <xf numFmtId="0" fontId="2" fillId="0" borderId="10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43" fontId="6" fillId="0" borderId="18" xfId="1" applyNumberFormat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6" fillId="0" borderId="22" xfId="1" applyFont="1" applyBorder="1" applyAlignment="1">
      <alignment vertical="center"/>
    </xf>
    <xf numFmtId="0" fontId="6" fillId="0" borderId="23" xfId="1" applyFont="1" applyBorder="1" applyAlignment="1">
      <alignment vertical="center"/>
    </xf>
    <xf numFmtId="0" fontId="5" fillId="0" borderId="0" xfId="1" applyFont="1" applyAlignment="1">
      <alignment vertical="center"/>
    </xf>
    <xf numFmtId="14" fontId="2" fillId="0" borderId="0" xfId="1" applyNumberFormat="1" applyFont="1" applyAlignment="1">
      <alignment vertical="center"/>
    </xf>
    <xf numFmtId="0" fontId="6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</cellXfs>
  <cellStyles count="4">
    <cellStyle name="Comma 4" xfId="2" xr:uid="{F4EB4742-154D-419C-A229-1115FE975B42}"/>
    <cellStyle name="Normal" xfId="0" builtinId="0"/>
    <cellStyle name="Normal 3" xfId="1" xr:uid="{F6A03D24-40A7-47D1-96FC-5C2EBAFE84A0}"/>
    <cellStyle name="Percent 2" xfId="3" xr:uid="{AD0404EB-8169-4E27-96EF-BBD8F85CB33C}"/>
  </cellStyles>
  <dxfs count="1"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344930</xdr:colOff>
      <xdr:row>213</xdr:row>
      <xdr:rowOff>21018</xdr:rowOff>
    </xdr:from>
    <xdr:to>
      <xdr:col>8</xdr:col>
      <xdr:colOff>344930</xdr:colOff>
      <xdr:row>221</xdr:row>
      <xdr:rowOff>14340</xdr:rowOff>
    </xdr:to>
    <xdr:sp macro="" textlink="">
      <xdr:nvSpPr>
        <xdr:cNvPr id="4" name="Line 54">
          <a:extLst>
            <a:ext uri="{FF2B5EF4-FFF2-40B4-BE49-F238E27FC236}">
              <a16:creationId xmlns:a16="http://schemas.microsoft.com/office/drawing/2014/main" id="{1C09DB4C-C7A5-4D6D-98C5-44FDDD672188}"/>
            </a:ext>
          </a:extLst>
        </xdr:cNvPr>
        <xdr:cNvSpPr>
          <a:spLocks noChangeShapeType="1"/>
        </xdr:cNvSpPr>
      </xdr:nvSpPr>
      <xdr:spPr bwMode="auto">
        <a:xfrm>
          <a:off x="7012430" y="11060493"/>
          <a:ext cx="0" cy="1631622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5</xdr:col>
      <xdr:colOff>164043</xdr:colOff>
      <xdr:row>218</xdr:row>
      <xdr:rowOff>0</xdr:rowOff>
    </xdr:from>
    <xdr:to>
      <xdr:col>8</xdr:col>
      <xdr:colOff>115138</xdr:colOff>
      <xdr:row>218</xdr:row>
      <xdr:rowOff>0</xdr:rowOff>
    </xdr:to>
    <xdr:sp macro="" textlink="">
      <xdr:nvSpPr>
        <xdr:cNvPr id="7" name="Line 51">
          <a:extLst>
            <a:ext uri="{FF2B5EF4-FFF2-40B4-BE49-F238E27FC236}">
              <a16:creationId xmlns:a16="http://schemas.microsoft.com/office/drawing/2014/main" id="{DE7618B1-A140-4682-99E2-5BD535BE43AF}"/>
            </a:ext>
          </a:extLst>
        </xdr:cNvPr>
        <xdr:cNvSpPr>
          <a:spLocks noChangeShapeType="1"/>
        </xdr:cNvSpPr>
      </xdr:nvSpPr>
      <xdr:spPr bwMode="auto">
        <a:xfrm>
          <a:off x="5145618" y="12344400"/>
          <a:ext cx="1637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682626</xdr:colOff>
      <xdr:row>218</xdr:row>
      <xdr:rowOff>5013</xdr:rowOff>
    </xdr:from>
    <xdr:to>
      <xdr:col>10</xdr:col>
      <xdr:colOff>0</xdr:colOff>
      <xdr:row>218</xdr:row>
      <xdr:rowOff>5013</xdr:rowOff>
    </xdr:to>
    <xdr:sp macro="" textlink="">
      <xdr:nvSpPr>
        <xdr:cNvPr id="8" name="Line 51">
          <a:extLst>
            <a:ext uri="{FF2B5EF4-FFF2-40B4-BE49-F238E27FC236}">
              <a16:creationId xmlns:a16="http://schemas.microsoft.com/office/drawing/2014/main" id="{809E12B3-ED54-4531-B4EA-41DE3D38ED59}"/>
            </a:ext>
          </a:extLst>
        </xdr:cNvPr>
        <xdr:cNvSpPr>
          <a:spLocks noChangeShapeType="1"/>
        </xdr:cNvSpPr>
      </xdr:nvSpPr>
      <xdr:spPr bwMode="auto">
        <a:xfrm>
          <a:off x="7350126" y="12349413"/>
          <a:ext cx="142769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331840</xdr:colOff>
      <xdr:row>219</xdr:row>
      <xdr:rowOff>169334</xdr:rowOff>
    </xdr:from>
    <xdr:to>
      <xdr:col>6</xdr:col>
      <xdr:colOff>876406</xdr:colOff>
      <xdr:row>219</xdr:row>
      <xdr:rowOff>169334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0A81E8E3-9059-43BA-8617-EC9A0805D74A}"/>
            </a:ext>
          </a:extLst>
        </xdr:cNvPr>
        <xdr:cNvSpPr>
          <a:spLocks noChangeShapeType="1"/>
        </xdr:cNvSpPr>
      </xdr:nvSpPr>
      <xdr:spPr bwMode="auto">
        <a:xfrm>
          <a:off x="5313415" y="12589934"/>
          <a:ext cx="133514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8</xdr:col>
      <xdr:colOff>792904</xdr:colOff>
      <xdr:row>219</xdr:row>
      <xdr:rowOff>169334</xdr:rowOff>
    </xdr:from>
    <xdr:to>
      <xdr:col>10</xdr:col>
      <xdr:colOff>0</xdr:colOff>
      <xdr:row>219</xdr:row>
      <xdr:rowOff>169334</xdr:rowOff>
    </xdr:to>
    <xdr:sp macro="" textlink="">
      <xdr:nvSpPr>
        <xdr:cNvPr id="10" name="Line 52">
          <a:extLst>
            <a:ext uri="{FF2B5EF4-FFF2-40B4-BE49-F238E27FC236}">
              <a16:creationId xmlns:a16="http://schemas.microsoft.com/office/drawing/2014/main" id="{649DDF36-F799-45CE-940A-3FB476F2673B}"/>
            </a:ext>
          </a:extLst>
        </xdr:cNvPr>
        <xdr:cNvSpPr>
          <a:spLocks noChangeShapeType="1"/>
        </xdr:cNvSpPr>
      </xdr:nvSpPr>
      <xdr:spPr bwMode="auto">
        <a:xfrm>
          <a:off x="7460404" y="12589934"/>
          <a:ext cx="110257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431D-7E97-448F-8F1D-F6E778E03EBD}">
  <dimension ref="B1:M243"/>
  <sheetViews>
    <sheetView tabSelected="1" topLeftCell="A4" workbookViewId="0">
      <selection activeCell="E7" sqref="E7"/>
    </sheetView>
  </sheetViews>
  <sheetFormatPr defaultColWidth="8.5703125" defaultRowHeight="23.25" x14ac:dyDescent="0.25"/>
  <cols>
    <col min="1" max="1" width="8.5703125" style="2"/>
    <col min="2" max="3" width="11.5703125" style="2" customWidth="1"/>
    <col min="4" max="4" width="12.28515625" style="4" customWidth="1"/>
    <col min="5" max="5" width="42.28515625" style="2" customWidth="1"/>
    <col min="6" max="6" width="11.85546875" style="2" customWidth="1"/>
    <col min="7" max="8" width="13.42578125" style="2" customWidth="1"/>
    <col min="9" max="9" width="16.140625" style="2" customWidth="1"/>
    <col min="10" max="10" width="13.7109375" style="2" bestFit="1" customWidth="1"/>
    <col min="11" max="11" width="13.5703125" style="2" bestFit="1" customWidth="1"/>
    <col min="12" max="12" width="14.7109375" style="61" customWidth="1"/>
    <col min="13" max="13" width="17" style="61" customWidth="1"/>
    <col min="14" max="249" width="8.5703125" style="2"/>
    <col min="250" max="250" width="11.5703125" style="2" customWidth="1"/>
    <col min="251" max="251" width="13.140625" style="2" customWidth="1"/>
    <col min="252" max="258" width="2.42578125" style="2" customWidth="1"/>
    <col min="259" max="259" width="3" style="2" customWidth="1"/>
    <col min="260" max="260" width="2.7109375" style="2" customWidth="1"/>
    <col min="261" max="261" width="2.42578125" style="2" customWidth="1"/>
    <col min="262" max="262" width="11.5703125" style="2" customWidth="1"/>
    <col min="263" max="263" width="9.85546875" style="2" customWidth="1"/>
    <col min="264" max="264" width="8.5703125" style="2"/>
    <col min="265" max="265" width="15" style="2" customWidth="1"/>
    <col min="266" max="266" width="4" style="2" customWidth="1"/>
    <col min="267" max="267" width="14.42578125" style="2" customWidth="1"/>
    <col min="268" max="268" width="10.42578125" style="2" bestFit="1" customWidth="1"/>
    <col min="269" max="269" width="11.85546875" style="2" bestFit="1" customWidth="1"/>
    <col min="270" max="505" width="8.5703125" style="2"/>
    <col min="506" max="506" width="11.5703125" style="2" customWidth="1"/>
    <col min="507" max="507" width="13.140625" style="2" customWidth="1"/>
    <col min="508" max="514" width="2.42578125" style="2" customWidth="1"/>
    <col min="515" max="515" width="3" style="2" customWidth="1"/>
    <col min="516" max="516" width="2.7109375" style="2" customWidth="1"/>
    <col min="517" max="517" width="2.42578125" style="2" customWidth="1"/>
    <col min="518" max="518" width="11.5703125" style="2" customWidth="1"/>
    <col min="519" max="519" width="9.85546875" style="2" customWidth="1"/>
    <col min="520" max="520" width="8.5703125" style="2"/>
    <col min="521" max="521" width="15" style="2" customWidth="1"/>
    <col min="522" max="522" width="4" style="2" customWidth="1"/>
    <col min="523" max="523" width="14.42578125" style="2" customWidth="1"/>
    <col min="524" max="524" width="10.42578125" style="2" bestFit="1" customWidth="1"/>
    <col min="525" max="525" width="11.85546875" style="2" bestFit="1" customWidth="1"/>
    <col min="526" max="761" width="8.5703125" style="2"/>
    <col min="762" max="762" width="11.5703125" style="2" customWidth="1"/>
    <col min="763" max="763" width="13.140625" style="2" customWidth="1"/>
    <col min="764" max="770" width="2.42578125" style="2" customWidth="1"/>
    <col min="771" max="771" width="3" style="2" customWidth="1"/>
    <col min="772" max="772" width="2.7109375" style="2" customWidth="1"/>
    <col min="773" max="773" width="2.42578125" style="2" customWidth="1"/>
    <col min="774" max="774" width="11.5703125" style="2" customWidth="1"/>
    <col min="775" max="775" width="9.85546875" style="2" customWidth="1"/>
    <col min="776" max="776" width="8.5703125" style="2"/>
    <col min="777" max="777" width="15" style="2" customWidth="1"/>
    <col min="778" max="778" width="4" style="2" customWidth="1"/>
    <col min="779" max="779" width="14.42578125" style="2" customWidth="1"/>
    <col min="780" max="780" width="10.42578125" style="2" bestFit="1" customWidth="1"/>
    <col min="781" max="781" width="11.85546875" style="2" bestFit="1" customWidth="1"/>
    <col min="782" max="1017" width="8.5703125" style="2"/>
    <col min="1018" max="1018" width="11.5703125" style="2" customWidth="1"/>
    <col min="1019" max="1019" width="13.140625" style="2" customWidth="1"/>
    <col min="1020" max="1026" width="2.42578125" style="2" customWidth="1"/>
    <col min="1027" max="1027" width="3" style="2" customWidth="1"/>
    <col min="1028" max="1028" width="2.7109375" style="2" customWidth="1"/>
    <col min="1029" max="1029" width="2.42578125" style="2" customWidth="1"/>
    <col min="1030" max="1030" width="11.5703125" style="2" customWidth="1"/>
    <col min="1031" max="1031" width="9.85546875" style="2" customWidth="1"/>
    <col min="1032" max="1032" width="8.5703125" style="2"/>
    <col min="1033" max="1033" width="15" style="2" customWidth="1"/>
    <col min="1034" max="1034" width="4" style="2" customWidth="1"/>
    <col min="1035" max="1035" width="14.42578125" style="2" customWidth="1"/>
    <col min="1036" max="1036" width="10.42578125" style="2" bestFit="1" customWidth="1"/>
    <col min="1037" max="1037" width="11.85546875" style="2" bestFit="1" customWidth="1"/>
    <col min="1038" max="1273" width="8.5703125" style="2"/>
    <col min="1274" max="1274" width="11.5703125" style="2" customWidth="1"/>
    <col min="1275" max="1275" width="13.140625" style="2" customWidth="1"/>
    <col min="1276" max="1282" width="2.42578125" style="2" customWidth="1"/>
    <col min="1283" max="1283" width="3" style="2" customWidth="1"/>
    <col min="1284" max="1284" width="2.7109375" style="2" customWidth="1"/>
    <col min="1285" max="1285" width="2.42578125" style="2" customWidth="1"/>
    <col min="1286" max="1286" width="11.5703125" style="2" customWidth="1"/>
    <col min="1287" max="1287" width="9.85546875" style="2" customWidth="1"/>
    <col min="1288" max="1288" width="8.5703125" style="2"/>
    <col min="1289" max="1289" width="15" style="2" customWidth="1"/>
    <col min="1290" max="1290" width="4" style="2" customWidth="1"/>
    <col min="1291" max="1291" width="14.42578125" style="2" customWidth="1"/>
    <col min="1292" max="1292" width="10.42578125" style="2" bestFit="1" customWidth="1"/>
    <col min="1293" max="1293" width="11.85546875" style="2" bestFit="1" customWidth="1"/>
    <col min="1294" max="1529" width="8.5703125" style="2"/>
    <col min="1530" max="1530" width="11.5703125" style="2" customWidth="1"/>
    <col min="1531" max="1531" width="13.140625" style="2" customWidth="1"/>
    <col min="1532" max="1538" width="2.42578125" style="2" customWidth="1"/>
    <col min="1539" max="1539" width="3" style="2" customWidth="1"/>
    <col min="1540" max="1540" width="2.7109375" style="2" customWidth="1"/>
    <col min="1541" max="1541" width="2.42578125" style="2" customWidth="1"/>
    <col min="1542" max="1542" width="11.5703125" style="2" customWidth="1"/>
    <col min="1543" max="1543" width="9.85546875" style="2" customWidth="1"/>
    <col min="1544" max="1544" width="8.5703125" style="2"/>
    <col min="1545" max="1545" width="15" style="2" customWidth="1"/>
    <col min="1546" max="1546" width="4" style="2" customWidth="1"/>
    <col min="1547" max="1547" width="14.42578125" style="2" customWidth="1"/>
    <col min="1548" max="1548" width="10.42578125" style="2" bestFit="1" customWidth="1"/>
    <col min="1549" max="1549" width="11.85546875" style="2" bestFit="1" customWidth="1"/>
    <col min="1550" max="1785" width="8.5703125" style="2"/>
    <col min="1786" max="1786" width="11.5703125" style="2" customWidth="1"/>
    <col min="1787" max="1787" width="13.140625" style="2" customWidth="1"/>
    <col min="1788" max="1794" width="2.42578125" style="2" customWidth="1"/>
    <col min="1795" max="1795" width="3" style="2" customWidth="1"/>
    <col min="1796" max="1796" width="2.7109375" style="2" customWidth="1"/>
    <col min="1797" max="1797" width="2.42578125" style="2" customWidth="1"/>
    <col min="1798" max="1798" width="11.5703125" style="2" customWidth="1"/>
    <col min="1799" max="1799" width="9.85546875" style="2" customWidth="1"/>
    <col min="1800" max="1800" width="8.5703125" style="2"/>
    <col min="1801" max="1801" width="15" style="2" customWidth="1"/>
    <col min="1802" max="1802" width="4" style="2" customWidth="1"/>
    <col min="1803" max="1803" width="14.42578125" style="2" customWidth="1"/>
    <col min="1804" max="1804" width="10.42578125" style="2" bestFit="1" customWidth="1"/>
    <col min="1805" max="1805" width="11.85546875" style="2" bestFit="1" customWidth="1"/>
    <col min="1806" max="2041" width="8.5703125" style="2"/>
    <col min="2042" max="2042" width="11.5703125" style="2" customWidth="1"/>
    <col min="2043" max="2043" width="13.140625" style="2" customWidth="1"/>
    <col min="2044" max="2050" width="2.42578125" style="2" customWidth="1"/>
    <col min="2051" max="2051" width="3" style="2" customWidth="1"/>
    <col min="2052" max="2052" width="2.7109375" style="2" customWidth="1"/>
    <col min="2053" max="2053" width="2.42578125" style="2" customWidth="1"/>
    <col min="2054" max="2054" width="11.5703125" style="2" customWidth="1"/>
    <col min="2055" max="2055" width="9.85546875" style="2" customWidth="1"/>
    <col min="2056" max="2056" width="8.5703125" style="2"/>
    <col min="2057" max="2057" width="15" style="2" customWidth="1"/>
    <col min="2058" max="2058" width="4" style="2" customWidth="1"/>
    <col min="2059" max="2059" width="14.42578125" style="2" customWidth="1"/>
    <col min="2060" max="2060" width="10.42578125" style="2" bestFit="1" customWidth="1"/>
    <col min="2061" max="2061" width="11.85546875" style="2" bestFit="1" customWidth="1"/>
    <col min="2062" max="2297" width="8.5703125" style="2"/>
    <col min="2298" max="2298" width="11.5703125" style="2" customWidth="1"/>
    <col min="2299" max="2299" width="13.140625" style="2" customWidth="1"/>
    <col min="2300" max="2306" width="2.42578125" style="2" customWidth="1"/>
    <col min="2307" max="2307" width="3" style="2" customWidth="1"/>
    <col min="2308" max="2308" width="2.7109375" style="2" customWidth="1"/>
    <col min="2309" max="2309" width="2.42578125" style="2" customWidth="1"/>
    <col min="2310" max="2310" width="11.5703125" style="2" customWidth="1"/>
    <col min="2311" max="2311" width="9.85546875" style="2" customWidth="1"/>
    <col min="2312" max="2312" width="8.5703125" style="2"/>
    <col min="2313" max="2313" width="15" style="2" customWidth="1"/>
    <col min="2314" max="2314" width="4" style="2" customWidth="1"/>
    <col min="2315" max="2315" width="14.42578125" style="2" customWidth="1"/>
    <col min="2316" max="2316" width="10.42578125" style="2" bestFit="1" customWidth="1"/>
    <col min="2317" max="2317" width="11.85546875" style="2" bestFit="1" customWidth="1"/>
    <col min="2318" max="2553" width="8.5703125" style="2"/>
    <col min="2554" max="2554" width="11.5703125" style="2" customWidth="1"/>
    <col min="2555" max="2555" width="13.140625" style="2" customWidth="1"/>
    <col min="2556" max="2562" width="2.42578125" style="2" customWidth="1"/>
    <col min="2563" max="2563" width="3" style="2" customWidth="1"/>
    <col min="2564" max="2564" width="2.7109375" style="2" customWidth="1"/>
    <col min="2565" max="2565" width="2.42578125" style="2" customWidth="1"/>
    <col min="2566" max="2566" width="11.5703125" style="2" customWidth="1"/>
    <col min="2567" max="2567" width="9.85546875" style="2" customWidth="1"/>
    <col min="2568" max="2568" width="8.5703125" style="2"/>
    <col min="2569" max="2569" width="15" style="2" customWidth="1"/>
    <col min="2570" max="2570" width="4" style="2" customWidth="1"/>
    <col min="2571" max="2571" width="14.42578125" style="2" customWidth="1"/>
    <col min="2572" max="2572" width="10.42578125" style="2" bestFit="1" customWidth="1"/>
    <col min="2573" max="2573" width="11.85546875" style="2" bestFit="1" customWidth="1"/>
    <col min="2574" max="2809" width="8.5703125" style="2"/>
    <col min="2810" max="2810" width="11.5703125" style="2" customWidth="1"/>
    <col min="2811" max="2811" width="13.140625" style="2" customWidth="1"/>
    <col min="2812" max="2818" width="2.42578125" style="2" customWidth="1"/>
    <col min="2819" max="2819" width="3" style="2" customWidth="1"/>
    <col min="2820" max="2820" width="2.7109375" style="2" customWidth="1"/>
    <col min="2821" max="2821" width="2.42578125" style="2" customWidth="1"/>
    <col min="2822" max="2822" width="11.5703125" style="2" customWidth="1"/>
    <col min="2823" max="2823" width="9.85546875" style="2" customWidth="1"/>
    <col min="2824" max="2824" width="8.5703125" style="2"/>
    <col min="2825" max="2825" width="15" style="2" customWidth="1"/>
    <col min="2826" max="2826" width="4" style="2" customWidth="1"/>
    <col min="2827" max="2827" width="14.42578125" style="2" customWidth="1"/>
    <col min="2828" max="2828" width="10.42578125" style="2" bestFit="1" customWidth="1"/>
    <col min="2829" max="2829" width="11.85546875" style="2" bestFit="1" customWidth="1"/>
    <col min="2830" max="3065" width="8.5703125" style="2"/>
    <col min="3066" max="3066" width="11.5703125" style="2" customWidth="1"/>
    <col min="3067" max="3067" width="13.140625" style="2" customWidth="1"/>
    <col min="3068" max="3074" width="2.42578125" style="2" customWidth="1"/>
    <col min="3075" max="3075" width="3" style="2" customWidth="1"/>
    <col min="3076" max="3076" width="2.7109375" style="2" customWidth="1"/>
    <col min="3077" max="3077" width="2.42578125" style="2" customWidth="1"/>
    <col min="3078" max="3078" width="11.5703125" style="2" customWidth="1"/>
    <col min="3079" max="3079" width="9.85546875" style="2" customWidth="1"/>
    <col min="3080" max="3080" width="8.5703125" style="2"/>
    <col min="3081" max="3081" width="15" style="2" customWidth="1"/>
    <col min="3082" max="3082" width="4" style="2" customWidth="1"/>
    <col min="3083" max="3083" width="14.42578125" style="2" customWidth="1"/>
    <col min="3084" max="3084" width="10.42578125" style="2" bestFit="1" customWidth="1"/>
    <col min="3085" max="3085" width="11.85546875" style="2" bestFit="1" customWidth="1"/>
    <col min="3086" max="3321" width="8.5703125" style="2"/>
    <col min="3322" max="3322" width="11.5703125" style="2" customWidth="1"/>
    <col min="3323" max="3323" width="13.140625" style="2" customWidth="1"/>
    <col min="3324" max="3330" width="2.42578125" style="2" customWidth="1"/>
    <col min="3331" max="3331" width="3" style="2" customWidth="1"/>
    <col min="3332" max="3332" width="2.7109375" style="2" customWidth="1"/>
    <col min="3333" max="3333" width="2.42578125" style="2" customWidth="1"/>
    <col min="3334" max="3334" width="11.5703125" style="2" customWidth="1"/>
    <col min="3335" max="3335" width="9.85546875" style="2" customWidth="1"/>
    <col min="3336" max="3336" width="8.5703125" style="2"/>
    <col min="3337" max="3337" width="15" style="2" customWidth="1"/>
    <col min="3338" max="3338" width="4" style="2" customWidth="1"/>
    <col min="3339" max="3339" width="14.42578125" style="2" customWidth="1"/>
    <col min="3340" max="3340" width="10.42578125" style="2" bestFit="1" customWidth="1"/>
    <col min="3341" max="3341" width="11.85546875" style="2" bestFit="1" customWidth="1"/>
    <col min="3342" max="3577" width="8.5703125" style="2"/>
    <col min="3578" max="3578" width="11.5703125" style="2" customWidth="1"/>
    <col min="3579" max="3579" width="13.140625" style="2" customWidth="1"/>
    <col min="3580" max="3586" width="2.42578125" style="2" customWidth="1"/>
    <col min="3587" max="3587" width="3" style="2" customWidth="1"/>
    <col min="3588" max="3588" width="2.7109375" style="2" customWidth="1"/>
    <col min="3589" max="3589" width="2.42578125" style="2" customWidth="1"/>
    <col min="3590" max="3590" width="11.5703125" style="2" customWidth="1"/>
    <col min="3591" max="3591" width="9.85546875" style="2" customWidth="1"/>
    <col min="3592" max="3592" width="8.5703125" style="2"/>
    <col min="3593" max="3593" width="15" style="2" customWidth="1"/>
    <col min="3594" max="3594" width="4" style="2" customWidth="1"/>
    <col min="3595" max="3595" width="14.42578125" style="2" customWidth="1"/>
    <col min="3596" max="3596" width="10.42578125" style="2" bestFit="1" customWidth="1"/>
    <col min="3597" max="3597" width="11.85546875" style="2" bestFit="1" customWidth="1"/>
    <col min="3598" max="3833" width="8.5703125" style="2"/>
    <col min="3834" max="3834" width="11.5703125" style="2" customWidth="1"/>
    <col min="3835" max="3835" width="13.140625" style="2" customWidth="1"/>
    <col min="3836" max="3842" width="2.42578125" style="2" customWidth="1"/>
    <col min="3843" max="3843" width="3" style="2" customWidth="1"/>
    <col min="3844" max="3844" width="2.7109375" style="2" customWidth="1"/>
    <col min="3845" max="3845" width="2.42578125" style="2" customWidth="1"/>
    <col min="3846" max="3846" width="11.5703125" style="2" customWidth="1"/>
    <col min="3847" max="3847" width="9.85546875" style="2" customWidth="1"/>
    <col min="3848" max="3848" width="8.5703125" style="2"/>
    <col min="3849" max="3849" width="15" style="2" customWidth="1"/>
    <col min="3850" max="3850" width="4" style="2" customWidth="1"/>
    <col min="3851" max="3851" width="14.42578125" style="2" customWidth="1"/>
    <col min="3852" max="3852" width="10.42578125" style="2" bestFit="1" customWidth="1"/>
    <col min="3853" max="3853" width="11.85546875" style="2" bestFit="1" customWidth="1"/>
    <col min="3854" max="4089" width="8.5703125" style="2"/>
    <col min="4090" max="4090" width="11.5703125" style="2" customWidth="1"/>
    <col min="4091" max="4091" width="13.140625" style="2" customWidth="1"/>
    <col min="4092" max="4098" width="2.42578125" style="2" customWidth="1"/>
    <col min="4099" max="4099" width="3" style="2" customWidth="1"/>
    <col min="4100" max="4100" width="2.7109375" style="2" customWidth="1"/>
    <col min="4101" max="4101" width="2.42578125" style="2" customWidth="1"/>
    <col min="4102" max="4102" width="11.5703125" style="2" customWidth="1"/>
    <col min="4103" max="4103" width="9.85546875" style="2" customWidth="1"/>
    <col min="4104" max="4104" width="8.5703125" style="2"/>
    <col min="4105" max="4105" width="15" style="2" customWidth="1"/>
    <col min="4106" max="4106" width="4" style="2" customWidth="1"/>
    <col min="4107" max="4107" width="14.42578125" style="2" customWidth="1"/>
    <col min="4108" max="4108" width="10.42578125" style="2" bestFit="1" customWidth="1"/>
    <col min="4109" max="4109" width="11.85546875" style="2" bestFit="1" customWidth="1"/>
    <col min="4110" max="4345" width="8.5703125" style="2"/>
    <col min="4346" max="4346" width="11.5703125" style="2" customWidth="1"/>
    <col min="4347" max="4347" width="13.140625" style="2" customWidth="1"/>
    <col min="4348" max="4354" width="2.42578125" style="2" customWidth="1"/>
    <col min="4355" max="4355" width="3" style="2" customWidth="1"/>
    <col min="4356" max="4356" width="2.7109375" style="2" customWidth="1"/>
    <col min="4357" max="4357" width="2.42578125" style="2" customWidth="1"/>
    <col min="4358" max="4358" width="11.5703125" style="2" customWidth="1"/>
    <col min="4359" max="4359" width="9.85546875" style="2" customWidth="1"/>
    <col min="4360" max="4360" width="8.5703125" style="2"/>
    <col min="4361" max="4361" width="15" style="2" customWidth="1"/>
    <col min="4362" max="4362" width="4" style="2" customWidth="1"/>
    <col min="4363" max="4363" width="14.42578125" style="2" customWidth="1"/>
    <col min="4364" max="4364" width="10.42578125" style="2" bestFit="1" customWidth="1"/>
    <col min="4365" max="4365" width="11.85546875" style="2" bestFit="1" customWidth="1"/>
    <col min="4366" max="4601" width="8.5703125" style="2"/>
    <col min="4602" max="4602" width="11.5703125" style="2" customWidth="1"/>
    <col min="4603" max="4603" width="13.140625" style="2" customWidth="1"/>
    <col min="4604" max="4610" width="2.42578125" style="2" customWidth="1"/>
    <col min="4611" max="4611" width="3" style="2" customWidth="1"/>
    <col min="4612" max="4612" width="2.7109375" style="2" customWidth="1"/>
    <col min="4613" max="4613" width="2.42578125" style="2" customWidth="1"/>
    <col min="4614" max="4614" width="11.5703125" style="2" customWidth="1"/>
    <col min="4615" max="4615" width="9.85546875" style="2" customWidth="1"/>
    <col min="4616" max="4616" width="8.5703125" style="2"/>
    <col min="4617" max="4617" width="15" style="2" customWidth="1"/>
    <col min="4618" max="4618" width="4" style="2" customWidth="1"/>
    <col min="4619" max="4619" width="14.42578125" style="2" customWidth="1"/>
    <col min="4620" max="4620" width="10.42578125" style="2" bestFit="1" customWidth="1"/>
    <col min="4621" max="4621" width="11.85546875" style="2" bestFit="1" customWidth="1"/>
    <col min="4622" max="4857" width="8.5703125" style="2"/>
    <col min="4858" max="4858" width="11.5703125" style="2" customWidth="1"/>
    <col min="4859" max="4859" width="13.140625" style="2" customWidth="1"/>
    <col min="4860" max="4866" width="2.42578125" style="2" customWidth="1"/>
    <col min="4867" max="4867" width="3" style="2" customWidth="1"/>
    <col min="4868" max="4868" width="2.7109375" style="2" customWidth="1"/>
    <col min="4869" max="4869" width="2.42578125" style="2" customWidth="1"/>
    <col min="4870" max="4870" width="11.5703125" style="2" customWidth="1"/>
    <col min="4871" max="4871" width="9.85546875" style="2" customWidth="1"/>
    <col min="4872" max="4872" width="8.5703125" style="2"/>
    <col min="4873" max="4873" width="15" style="2" customWidth="1"/>
    <col min="4874" max="4874" width="4" style="2" customWidth="1"/>
    <col min="4875" max="4875" width="14.42578125" style="2" customWidth="1"/>
    <col min="4876" max="4876" width="10.42578125" style="2" bestFit="1" customWidth="1"/>
    <col min="4877" max="4877" width="11.85546875" style="2" bestFit="1" customWidth="1"/>
    <col min="4878" max="5113" width="8.5703125" style="2"/>
    <col min="5114" max="5114" width="11.5703125" style="2" customWidth="1"/>
    <col min="5115" max="5115" width="13.140625" style="2" customWidth="1"/>
    <col min="5116" max="5122" width="2.42578125" style="2" customWidth="1"/>
    <col min="5123" max="5123" width="3" style="2" customWidth="1"/>
    <col min="5124" max="5124" width="2.7109375" style="2" customWidth="1"/>
    <col min="5125" max="5125" width="2.42578125" style="2" customWidth="1"/>
    <col min="5126" max="5126" width="11.5703125" style="2" customWidth="1"/>
    <col min="5127" max="5127" width="9.85546875" style="2" customWidth="1"/>
    <col min="5128" max="5128" width="8.5703125" style="2"/>
    <col min="5129" max="5129" width="15" style="2" customWidth="1"/>
    <col min="5130" max="5130" width="4" style="2" customWidth="1"/>
    <col min="5131" max="5131" width="14.42578125" style="2" customWidth="1"/>
    <col min="5132" max="5132" width="10.42578125" style="2" bestFit="1" customWidth="1"/>
    <col min="5133" max="5133" width="11.85546875" style="2" bestFit="1" customWidth="1"/>
    <col min="5134" max="5369" width="8.5703125" style="2"/>
    <col min="5370" max="5370" width="11.5703125" style="2" customWidth="1"/>
    <col min="5371" max="5371" width="13.140625" style="2" customWidth="1"/>
    <col min="5372" max="5378" width="2.42578125" style="2" customWidth="1"/>
    <col min="5379" max="5379" width="3" style="2" customWidth="1"/>
    <col min="5380" max="5380" width="2.7109375" style="2" customWidth="1"/>
    <col min="5381" max="5381" width="2.42578125" style="2" customWidth="1"/>
    <col min="5382" max="5382" width="11.5703125" style="2" customWidth="1"/>
    <col min="5383" max="5383" width="9.85546875" style="2" customWidth="1"/>
    <col min="5384" max="5384" width="8.5703125" style="2"/>
    <col min="5385" max="5385" width="15" style="2" customWidth="1"/>
    <col min="5386" max="5386" width="4" style="2" customWidth="1"/>
    <col min="5387" max="5387" width="14.42578125" style="2" customWidth="1"/>
    <col min="5388" max="5388" width="10.42578125" style="2" bestFit="1" customWidth="1"/>
    <col min="5389" max="5389" width="11.85546875" style="2" bestFit="1" customWidth="1"/>
    <col min="5390" max="5625" width="8.5703125" style="2"/>
    <col min="5626" max="5626" width="11.5703125" style="2" customWidth="1"/>
    <col min="5627" max="5627" width="13.140625" style="2" customWidth="1"/>
    <col min="5628" max="5634" width="2.42578125" style="2" customWidth="1"/>
    <col min="5635" max="5635" width="3" style="2" customWidth="1"/>
    <col min="5636" max="5636" width="2.7109375" style="2" customWidth="1"/>
    <col min="5637" max="5637" width="2.42578125" style="2" customWidth="1"/>
    <col min="5638" max="5638" width="11.5703125" style="2" customWidth="1"/>
    <col min="5639" max="5639" width="9.85546875" style="2" customWidth="1"/>
    <col min="5640" max="5640" width="8.5703125" style="2"/>
    <col min="5641" max="5641" width="15" style="2" customWidth="1"/>
    <col min="5642" max="5642" width="4" style="2" customWidth="1"/>
    <col min="5643" max="5643" width="14.42578125" style="2" customWidth="1"/>
    <col min="5644" max="5644" width="10.42578125" style="2" bestFit="1" customWidth="1"/>
    <col min="5645" max="5645" width="11.85546875" style="2" bestFit="1" customWidth="1"/>
    <col min="5646" max="5881" width="8.5703125" style="2"/>
    <col min="5882" max="5882" width="11.5703125" style="2" customWidth="1"/>
    <col min="5883" max="5883" width="13.140625" style="2" customWidth="1"/>
    <col min="5884" max="5890" width="2.42578125" style="2" customWidth="1"/>
    <col min="5891" max="5891" width="3" style="2" customWidth="1"/>
    <col min="5892" max="5892" width="2.7109375" style="2" customWidth="1"/>
    <col min="5893" max="5893" width="2.42578125" style="2" customWidth="1"/>
    <col min="5894" max="5894" width="11.5703125" style="2" customWidth="1"/>
    <col min="5895" max="5895" width="9.85546875" style="2" customWidth="1"/>
    <col min="5896" max="5896" width="8.5703125" style="2"/>
    <col min="5897" max="5897" width="15" style="2" customWidth="1"/>
    <col min="5898" max="5898" width="4" style="2" customWidth="1"/>
    <col min="5899" max="5899" width="14.42578125" style="2" customWidth="1"/>
    <col min="5900" max="5900" width="10.42578125" style="2" bestFit="1" customWidth="1"/>
    <col min="5901" max="5901" width="11.85546875" style="2" bestFit="1" customWidth="1"/>
    <col min="5902" max="6137" width="8.5703125" style="2"/>
    <col min="6138" max="6138" width="11.5703125" style="2" customWidth="1"/>
    <col min="6139" max="6139" width="13.140625" style="2" customWidth="1"/>
    <col min="6140" max="6146" width="2.42578125" style="2" customWidth="1"/>
    <col min="6147" max="6147" width="3" style="2" customWidth="1"/>
    <col min="6148" max="6148" width="2.7109375" style="2" customWidth="1"/>
    <col min="6149" max="6149" width="2.42578125" style="2" customWidth="1"/>
    <col min="6150" max="6150" width="11.5703125" style="2" customWidth="1"/>
    <col min="6151" max="6151" width="9.85546875" style="2" customWidth="1"/>
    <col min="6152" max="6152" width="8.5703125" style="2"/>
    <col min="6153" max="6153" width="15" style="2" customWidth="1"/>
    <col min="6154" max="6154" width="4" style="2" customWidth="1"/>
    <col min="6155" max="6155" width="14.42578125" style="2" customWidth="1"/>
    <col min="6156" max="6156" width="10.42578125" style="2" bestFit="1" customWidth="1"/>
    <col min="6157" max="6157" width="11.85546875" style="2" bestFit="1" customWidth="1"/>
    <col min="6158" max="6393" width="8.5703125" style="2"/>
    <col min="6394" max="6394" width="11.5703125" style="2" customWidth="1"/>
    <col min="6395" max="6395" width="13.140625" style="2" customWidth="1"/>
    <col min="6396" max="6402" width="2.42578125" style="2" customWidth="1"/>
    <col min="6403" max="6403" width="3" style="2" customWidth="1"/>
    <col min="6404" max="6404" width="2.7109375" style="2" customWidth="1"/>
    <col min="6405" max="6405" width="2.42578125" style="2" customWidth="1"/>
    <col min="6406" max="6406" width="11.5703125" style="2" customWidth="1"/>
    <col min="6407" max="6407" width="9.85546875" style="2" customWidth="1"/>
    <col min="6408" max="6408" width="8.5703125" style="2"/>
    <col min="6409" max="6409" width="15" style="2" customWidth="1"/>
    <col min="6410" max="6410" width="4" style="2" customWidth="1"/>
    <col min="6411" max="6411" width="14.42578125" style="2" customWidth="1"/>
    <col min="6412" max="6412" width="10.42578125" style="2" bestFit="1" customWidth="1"/>
    <col min="6413" max="6413" width="11.85546875" style="2" bestFit="1" customWidth="1"/>
    <col min="6414" max="6649" width="8.5703125" style="2"/>
    <col min="6650" max="6650" width="11.5703125" style="2" customWidth="1"/>
    <col min="6651" max="6651" width="13.140625" style="2" customWidth="1"/>
    <col min="6652" max="6658" width="2.42578125" style="2" customWidth="1"/>
    <col min="6659" max="6659" width="3" style="2" customWidth="1"/>
    <col min="6660" max="6660" width="2.7109375" style="2" customWidth="1"/>
    <col min="6661" max="6661" width="2.42578125" style="2" customWidth="1"/>
    <col min="6662" max="6662" width="11.5703125" style="2" customWidth="1"/>
    <col min="6663" max="6663" width="9.85546875" style="2" customWidth="1"/>
    <col min="6664" max="6664" width="8.5703125" style="2"/>
    <col min="6665" max="6665" width="15" style="2" customWidth="1"/>
    <col min="6666" max="6666" width="4" style="2" customWidth="1"/>
    <col min="6667" max="6667" width="14.42578125" style="2" customWidth="1"/>
    <col min="6668" max="6668" width="10.42578125" style="2" bestFit="1" customWidth="1"/>
    <col min="6669" max="6669" width="11.85546875" style="2" bestFit="1" customWidth="1"/>
    <col min="6670" max="6905" width="8.5703125" style="2"/>
    <col min="6906" max="6906" width="11.5703125" style="2" customWidth="1"/>
    <col min="6907" max="6907" width="13.140625" style="2" customWidth="1"/>
    <col min="6908" max="6914" width="2.42578125" style="2" customWidth="1"/>
    <col min="6915" max="6915" width="3" style="2" customWidth="1"/>
    <col min="6916" max="6916" width="2.7109375" style="2" customWidth="1"/>
    <col min="6917" max="6917" width="2.42578125" style="2" customWidth="1"/>
    <col min="6918" max="6918" width="11.5703125" style="2" customWidth="1"/>
    <col min="6919" max="6919" width="9.85546875" style="2" customWidth="1"/>
    <col min="6920" max="6920" width="8.5703125" style="2"/>
    <col min="6921" max="6921" width="15" style="2" customWidth="1"/>
    <col min="6922" max="6922" width="4" style="2" customWidth="1"/>
    <col min="6923" max="6923" width="14.42578125" style="2" customWidth="1"/>
    <col min="6924" max="6924" width="10.42578125" style="2" bestFit="1" customWidth="1"/>
    <col min="6925" max="6925" width="11.85546875" style="2" bestFit="1" customWidth="1"/>
    <col min="6926" max="7161" width="8.5703125" style="2"/>
    <col min="7162" max="7162" width="11.5703125" style="2" customWidth="1"/>
    <col min="7163" max="7163" width="13.140625" style="2" customWidth="1"/>
    <col min="7164" max="7170" width="2.42578125" style="2" customWidth="1"/>
    <col min="7171" max="7171" width="3" style="2" customWidth="1"/>
    <col min="7172" max="7172" width="2.7109375" style="2" customWidth="1"/>
    <col min="7173" max="7173" width="2.42578125" style="2" customWidth="1"/>
    <col min="7174" max="7174" width="11.5703125" style="2" customWidth="1"/>
    <col min="7175" max="7175" width="9.85546875" style="2" customWidth="1"/>
    <col min="7176" max="7176" width="8.5703125" style="2"/>
    <col min="7177" max="7177" width="15" style="2" customWidth="1"/>
    <col min="7178" max="7178" width="4" style="2" customWidth="1"/>
    <col min="7179" max="7179" width="14.42578125" style="2" customWidth="1"/>
    <col min="7180" max="7180" width="10.42578125" style="2" bestFit="1" customWidth="1"/>
    <col min="7181" max="7181" width="11.85546875" style="2" bestFit="1" customWidth="1"/>
    <col min="7182" max="7417" width="8.5703125" style="2"/>
    <col min="7418" max="7418" width="11.5703125" style="2" customWidth="1"/>
    <col min="7419" max="7419" width="13.140625" style="2" customWidth="1"/>
    <col min="7420" max="7426" width="2.42578125" style="2" customWidth="1"/>
    <col min="7427" max="7427" width="3" style="2" customWidth="1"/>
    <col min="7428" max="7428" width="2.7109375" style="2" customWidth="1"/>
    <col min="7429" max="7429" width="2.42578125" style="2" customWidth="1"/>
    <col min="7430" max="7430" width="11.5703125" style="2" customWidth="1"/>
    <col min="7431" max="7431" width="9.85546875" style="2" customWidth="1"/>
    <col min="7432" max="7432" width="8.5703125" style="2"/>
    <col min="7433" max="7433" width="15" style="2" customWidth="1"/>
    <col min="7434" max="7434" width="4" style="2" customWidth="1"/>
    <col min="7435" max="7435" width="14.42578125" style="2" customWidth="1"/>
    <col min="7436" max="7436" width="10.42578125" style="2" bestFit="1" customWidth="1"/>
    <col min="7437" max="7437" width="11.85546875" style="2" bestFit="1" customWidth="1"/>
    <col min="7438" max="7673" width="8.5703125" style="2"/>
    <col min="7674" max="7674" width="11.5703125" style="2" customWidth="1"/>
    <col min="7675" max="7675" width="13.140625" style="2" customWidth="1"/>
    <col min="7676" max="7682" width="2.42578125" style="2" customWidth="1"/>
    <col min="7683" max="7683" width="3" style="2" customWidth="1"/>
    <col min="7684" max="7684" width="2.7109375" style="2" customWidth="1"/>
    <col min="7685" max="7685" width="2.42578125" style="2" customWidth="1"/>
    <col min="7686" max="7686" width="11.5703125" style="2" customWidth="1"/>
    <col min="7687" max="7687" width="9.85546875" style="2" customWidth="1"/>
    <col min="7688" max="7688" width="8.5703125" style="2"/>
    <col min="7689" max="7689" width="15" style="2" customWidth="1"/>
    <col min="7690" max="7690" width="4" style="2" customWidth="1"/>
    <col min="7691" max="7691" width="14.42578125" style="2" customWidth="1"/>
    <col min="7692" max="7692" width="10.42578125" style="2" bestFit="1" customWidth="1"/>
    <col min="7693" max="7693" width="11.85546875" style="2" bestFit="1" customWidth="1"/>
    <col min="7694" max="7929" width="8.5703125" style="2"/>
    <col min="7930" max="7930" width="11.5703125" style="2" customWidth="1"/>
    <col min="7931" max="7931" width="13.140625" style="2" customWidth="1"/>
    <col min="7932" max="7938" width="2.42578125" style="2" customWidth="1"/>
    <col min="7939" max="7939" width="3" style="2" customWidth="1"/>
    <col min="7940" max="7940" width="2.7109375" style="2" customWidth="1"/>
    <col min="7941" max="7941" width="2.42578125" style="2" customWidth="1"/>
    <col min="7942" max="7942" width="11.5703125" style="2" customWidth="1"/>
    <col min="7943" max="7943" width="9.85546875" style="2" customWidth="1"/>
    <col min="7944" max="7944" width="8.5703125" style="2"/>
    <col min="7945" max="7945" width="15" style="2" customWidth="1"/>
    <col min="7946" max="7946" width="4" style="2" customWidth="1"/>
    <col min="7947" max="7947" width="14.42578125" style="2" customWidth="1"/>
    <col min="7948" max="7948" width="10.42578125" style="2" bestFit="1" customWidth="1"/>
    <col min="7949" max="7949" width="11.85546875" style="2" bestFit="1" customWidth="1"/>
    <col min="7950" max="8185" width="8.5703125" style="2"/>
    <col min="8186" max="8186" width="11.5703125" style="2" customWidth="1"/>
    <col min="8187" max="8187" width="13.140625" style="2" customWidth="1"/>
    <col min="8188" max="8194" width="2.42578125" style="2" customWidth="1"/>
    <col min="8195" max="8195" width="3" style="2" customWidth="1"/>
    <col min="8196" max="8196" width="2.7109375" style="2" customWidth="1"/>
    <col min="8197" max="8197" width="2.42578125" style="2" customWidth="1"/>
    <col min="8198" max="8198" width="11.5703125" style="2" customWidth="1"/>
    <col min="8199" max="8199" width="9.85546875" style="2" customWidth="1"/>
    <col min="8200" max="8200" width="8.5703125" style="2"/>
    <col min="8201" max="8201" width="15" style="2" customWidth="1"/>
    <col min="8202" max="8202" width="4" style="2" customWidth="1"/>
    <col min="8203" max="8203" width="14.42578125" style="2" customWidth="1"/>
    <col min="8204" max="8204" width="10.42578125" style="2" bestFit="1" customWidth="1"/>
    <col min="8205" max="8205" width="11.85546875" style="2" bestFit="1" customWidth="1"/>
    <col min="8206" max="8441" width="8.5703125" style="2"/>
    <col min="8442" max="8442" width="11.5703125" style="2" customWidth="1"/>
    <col min="8443" max="8443" width="13.140625" style="2" customWidth="1"/>
    <col min="8444" max="8450" width="2.42578125" style="2" customWidth="1"/>
    <col min="8451" max="8451" width="3" style="2" customWidth="1"/>
    <col min="8452" max="8452" width="2.7109375" style="2" customWidth="1"/>
    <col min="8453" max="8453" width="2.42578125" style="2" customWidth="1"/>
    <col min="8454" max="8454" width="11.5703125" style="2" customWidth="1"/>
    <col min="8455" max="8455" width="9.85546875" style="2" customWidth="1"/>
    <col min="8456" max="8456" width="8.5703125" style="2"/>
    <col min="8457" max="8457" width="15" style="2" customWidth="1"/>
    <col min="8458" max="8458" width="4" style="2" customWidth="1"/>
    <col min="8459" max="8459" width="14.42578125" style="2" customWidth="1"/>
    <col min="8460" max="8460" width="10.42578125" style="2" bestFit="1" customWidth="1"/>
    <col min="8461" max="8461" width="11.85546875" style="2" bestFit="1" customWidth="1"/>
    <col min="8462" max="8697" width="8.5703125" style="2"/>
    <col min="8698" max="8698" width="11.5703125" style="2" customWidth="1"/>
    <col min="8699" max="8699" width="13.140625" style="2" customWidth="1"/>
    <col min="8700" max="8706" width="2.42578125" style="2" customWidth="1"/>
    <col min="8707" max="8707" width="3" style="2" customWidth="1"/>
    <col min="8708" max="8708" width="2.7109375" style="2" customWidth="1"/>
    <col min="8709" max="8709" width="2.42578125" style="2" customWidth="1"/>
    <col min="8710" max="8710" width="11.5703125" style="2" customWidth="1"/>
    <col min="8711" max="8711" width="9.85546875" style="2" customWidth="1"/>
    <col min="8712" max="8712" width="8.5703125" style="2"/>
    <col min="8713" max="8713" width="15" style="2" customWidth="1"/>
    <col min="8714" max="8714" width="4" style="2" customWidth="1"/>
    <col min="8715" max="8715" width="14.42578125" style="2" customWidth="1"/>
    <col min="8716" max="8716" width="10.42578125" style="2" bestFit="1" customWidth="1"/>
    <col min="8717" max="8717" width="11.85546875" style="2" bestFit="1" customWidth="1"/>
    <col min="8718" max="8953" width="8.5703125" style="2"/>
    <col min="8954" max="8954" width="11.5703125" style="2" customWidth="1"/>
    <col min="8955" max="8955" width="13.140625" style="2" customWidth="1"/>
    <col min="8956" max="8962" width="2.42578125" style="2" customWidth="1"/>
    <col min="8963" max="8963" width="3" style="2" customWidth="1"/>
    <col min="8964" max="8964" width="2.7109375" style="2" customWidth="1"/>
    <col min="8965" max="8965" width="2.42578125" style="2" customWidth="1"/>
    <col min="8966" max="8966" width="11.5703125" style="2" customWidth="1"/>
    <col min="8967" max="8967" width="9.85546875" style="2" customWidth="1"/>
    <col min="8968" max="8968" width="8.5703125" style="2"/>
    <col min="8969" max="8969" width="15" style="2" customWidth="1"/>
    <col min="8970" max="8970" width="4" style="2" customWidth="1"/>
    <col min="8971" max="8971" width="14.42578125" style="2" customWidth="1"/>
    <col min="8972" max="8972" width="10.42578125" style="2" bestFit="1" customWidth="1"/>
    <col min="8973" max="8973" width="11.85546875" style="2" bestFit="1" customWidth="1"/>
    <col min="8974" max="9209" width="8.5703125" style="2"/>
    <col min="9210" max="9210" width="11.5703125" style="2" customWidth="1"/>
    <col min="9211" max="9211" width="13.140625" style="2" customWidth="1"/>
    <col min="9212" max="9218" width="2.42578125" style="2" customWidth="1"/>
    <col min="9219" max="9219" width="3" style="2" customWidth="1"/>
    <col min="9220" max="9220" width="2.7109375" style="2" customWidth="1"/>
    <col min="9221" max="9221" width="2.42578125" style="2" customWidth="1"/>
    <col min="9222" max="9222" width="11.5703125" style="2" customWidth="1"/>
    <col min="9223" max="9223" width="9.85546875" style="2" customWidth="1"/>
    <col min="9224" max="9224" width="8.5703125" style="2"/>
    <col min="9225" max="9225" width="15" style="2" customWidth="1"/>
    <col min="9226" max="9226" width="4" style="2" customWidth="1"/>
    <col min="9227" max="9227" width="14.42578125" style="2" customWidth="1"/>
    <col min="9228" max="9228" width="10.42578125" style="2" bestFit="1" customWidth="1"/>
    <col min="9229" max="9229" width="11.85546875" style="2" bestFit="1" customWidth="1"/>
    <col min="9230" max="9465" width="8.5703125" style="2"/>
    <col min="9466" max="9466" width="11.5703125" style="2" customWidth="1"/>
    <col min="9467" max="9467" width="13.140625" style="2" customWidth="1"/>
    <col min="9468" max="9474" width="2.42578125" style="2" customWidth="1"/>
    <col min="9475" max="9475" width="3" style="2" customWidth="1"/>
    <col min="9476" max="9476" width="2.7109375" style="2" customWidth="1"/>
    <col min="9477" max="9477" width="2.42578125" style="2" customWidth="1"/>
    <col min="9478" max="9478" width="11.5703125" style="2" customWidth="1"/>
    <col min="9479" max="9479" width="9.85546875" style="2" customWidth="1"/>
    <col min="9480" max="9480" width="8.5703125" style="2"/>
    <col min="9481" max="9481" width="15" style="2" customWidth="1"/>
    <col min="9482" max="9482" width="4" style="2" customWidth="1"/>
    <col min="9483" max="9483" width="14.42578125" style="2" customWidth="1"/>
    <col min="9484" max="9484" width="10.42578125" style="2" bestFit="1" customWidth="1"/>
    <col min="9485" max="9485" width="11.85546875" style="2" bestFit="1" customWidth="1"/>
    <col min="9486" max="9721" width="8.5703125" style="2"/>
    <col min="9722" max="9722" width="11.5703125" style="2" customWidth="1"/>
    <col min="9723" max="9723" width="13.140625" style="2" customWidth="1"/>
    <col min="9724" max="9730" width="2.42578125" style="2" customWidth="1"/>
    <col min="9731" max="9731" width="3" style="2" customWidth="1"/>
    <col min="9732" max="9732" width="2.7109375" style="2" customWidth="1"/>
    <col min="9733" max="9733" width="2.42578125" style="2" customWidth="1"/>
    <col min="9734" max="9734" width="11.5703125" style="2" customWidth="1"/>
    <col min="9735" max="9735" width="9.85546875" style="2" customWidth="1"/>
    <col min="9736" max="9736" width="8.5703125" style="2"/>
    <col min="9737" max="9737" width="15" style="2" customWidth="1"/>
    <col min="9738" max="9738" width="4" style="2" customWidth="1"/>
    <col min="9739" max="9739" width="14.42578125" style="2" customWidth="1"/>
    <col min="9740" max="9740" width="10.42578125" style="2" bestFit="1" customWidth="1"/>
    <col min="9741" max="9741" width="11.85546875" style="2" bestFit="1" customWidth="1"/>
    <col min="9742" max="9977" width="8.5703125" style="2"/>
    <col min="9978" max="9978" width="11.5703125" style="2" customWidth="1"/>
    <col min="9979" max="9979" width="13.140625" style="2" customWidth="1"/>
    <col min="9980" max="9986" width="2.42578125" style="2" customWidth="1"/>
    <col min="9987" max="9987" width="3" style="2" customWidth="1"/>
    <col min="9988" max="9988" width="2.7109375" style="2" customWidth="1"/>
    <col min="9989" max="9989" width="2.42578125" style="2" customWidth="1"/>
    <col min="9990" max="9990" width="11.5703125" style="2" customWidth="1"/>
    <col min="9991" max="9991" width="9.85546875" style="2" customWidth="1"/>
    <col min="9992" max="9992" width="8.5703125" style="2"/>
    <col min="9993" max="9993" width="15" style="2" customWidth="1"/>
    <col min="9994" max="9994" width="4" style="2" customWidth="1"/>
    <col min="9995" max="9995" width="14.42578125" style="2" customWidth="1"/>
    <col min="9996" max="9996" width="10.42578125" style="2" bestFit="1" customWidth="1"/>
    <col min="9997" max="9997" width="11.85546875" style="2" bestFit="1" customWidth="1"/>
    <col min="9998" max="10233" width="8.5703125" style="2"/>
    <col min="10234" max="10234" width="11.5703125" style="2" customWidth="1"/>
    <col min="10235" max="10235" width="13.140625" style="2" customWidth="1"/>
    <col min="10236" max="10242" width="2.42578125" style="2" customWidth="1"/>
    <col min="10243" max="10243" width="3" style="2" customWidth="1"/>
    <col min="10244" max="10244" width="2.7109375" style="2" customWidth="1"/>
    <col min="10245" max="10245" width="2.42578125" style="2" customWidth="1"/>
    <col min="10246" max="10246" width="11.5703125" style="2" customWidth="1"/>
    <col min="10247" max="10247" width="9.85546875" style="2" customWidth="1"/>
    <col min="10248" max="10248" width="8.5703125" style="2"/>
    <col min="10249" max="10249" width="15" style="2" customWidth="1"/>
    <col min="10250" max="10250" width="4" style="2" customWidth="1"/>
    <col min="10251" max="10251" width="14.42578125" style="2" customWidth="1"/>
    <col min="10252" max="10252" width="10.42578125" style="2" bestFit="1" customWidth="1"/>
    <col min="10253" max="10253" width="11.85546875" style="2" bestFit="1" customWidth="1"/>
    <col min="10254" max="10489" width="8.5703125" style="2"/>
    <col min="10490" max="10490" width="11.5703125" style="2" customWidth="1"/>
    <col min="10491" max="10491" width="13.140625" style="2" customWidth="1"/>
    <col min="10492" max="10498" width="2.42578125" style="2" customWidth="1"/>
    <col min="10499" max="10499" width="3" style="2" customWidth="1"/>
    <col min="10500" max="10500" width="2.7109375" style="2" customWidth="1"/>
    <col min="10501" max="10501" width="2.42578125" style="2" customWidth="1"/>
    <col min="10502" max="10502" width="11.5703125" style="2" customWidth="1"/>
    <col min="10503" max="10503" width="9.85546875" style="2" customWidth="1"/>
    <col min="10504" max="10504" width="8.5703125" style="2"/>
    <col min="10505" max="10505" width="15" style="2" customWidth="1"/>
    <col min="10506" max="10506" width="4" style="2" customWidth="1"/>
    <col min="10507" max="10507" width="14.42578125" style="2" customWidth="1"/>
    <col min="10508" max="10508" width="10.42578125" style="2" bestFit="1" customWidth="1"/>
    <col min="10509" max="10509" width="11.85546875" style="2" bestFit="1" customWidth="1"/>
    <col min="10510" max="10745" width="8.5703125" style="2"/>
    <col min="10746" max="10746" width="11.5703125" style="2" customWidth="1"/>
    <col min="10747" max="10747" width="13.140625" style="2" customWidth="1"/>
    <col min="10748" max="10754" width="2.42578125" style="2" customWidth="1"/>
    <col min="10755" max="10755" width="3" style="2" customWidth="1"/>
    <col min="10756" max="10756" width="2.7109375" style="2" customWidth="1"/>
    <col min="10757" max="10757" width="2.42578125" style="2" customWidth="1"/>
    <col min="10758" max="10758" width="11.5703125" style="2" customWidth="1"/>
    <col min="10759" max="10759" width="9.85546875" style="2" customWidth="1"/>
    <col min="10760" max="10760" width="8.5703125" style="2"/>
    <col min="10761" max="10761" width="15" style="2" customWidth="1"/>
    <col min="10762" max="10762" width="4" style="2" customWidth="1"/>
    <col min="10763" max="10763" width="14.42578125" style="2" customWidth="1"/>
    <col min="10764" max="10764" width="10.42578125" style="2" bestFit="1" customWidth="1"/>
    <col min="10765" max="10765" width="11.85546875" style="2" bestFit="1" customWidth="1"/>
    <col min="10766" max="11001" width="8.5703125" style="2"/>
    <col min="11002" max="11002" width="11.5703125" style="2" customWidth="1"/>
    <col min="11003" max="11003" width="13.140625" style="2" customWidth="1"/>
    <col min="11004" max="11010" width="2.42578125" style="2" customWidth="1"/>
    <col min="11011" max="11011" width="3" style="2" customWidth="1"/>
    <col min="11012" max="11012" width="2.7109375" style="2" customWidth="1"/>
    <col min="11013" max="11013" width="2.42578125" style="2" customWidth="1"/>
    <col min="11014" max="11014" width="11.5703125" style="2" customWidth="1"/>
    <col min="11015" max="11015" width="9.85546875" style="2" customWidth="1"/>
    <col min="11016" max="11016" width="8.5703125" style="2"/>
    <col min="11017" max="11017" width="15" style="2" customWidth="1"/>
    <col min="11018" max="11018" width="4" style="2" customWidth="1"/>
    <col min="11019" max="11019" width="14.42578125" style="2" customWidth="1"/>
    <col min="11020" max="11020" width="10.42578125" style="2" bestFit="1" customWidth="1"/>
    <col min="11021" max="11021" width="11.85546875" style="2" bestFit="1" customWidth="1"/>
    <col min="11022" max="11257" width="8.5703125" style="2"/>
    <col min="11258" max="11258" width="11.5703125" style="2" customWidth="1"/>
    <col min="11259" max="11259" width="13.140625" style="2" customWidth="1"/>
    <col min="11260" max="11266" width="2.42578125" style="2" customWidth="1"/>
    <col min="11267" max="11267" width="3" style="2" customWidth="1"/>
    <col min="11268" max="11268" width="2.7109375" style="2" customWidth="1"/>
    <col min="11269" max="11269" width="2.42578125" style="2" customWidth="1"/>
    <col min="11270" max="11270" width="11.5703125" style="2" customWidth="1"/>
    <col min="11271" max="11271" width="9.85546875" style="2" customWidth="1"/>
    <col min="11272" max="11272" width="8.5703125" style="2"/>
    <col min="11273" max="11273" width="15" style="2" customWidth="1"/>
    <col min="11274" max="11274" width="4" style="2" customWidth="1"/>
    <col min="11275" max="11275" width="14.42578125" style="2" customWidth="1"/>
    <col min="11276" max="11276" width="10.42578125" style="2" bestFit="1" customWidth="1"/>
    <col min="11277" max="11277" width="11.85546875" style="2" bestFit="1" customWidth="1"/>
    <col min="11278" max="11513" width="8.5703125" style="2"/>
    <col min="11514" max="11514" width="11.5703125" style="2" customWidth="1"/>
    <col min="11515" max="11515" width="13.140625" style="2" customWidth="1"/>
    <col min="11516" max="11522" width="2.42578125" style="2" customWidth="1"/>
    <col min="11523" max="11523" width="3" style="2" customWidth="1"/>
    <col min="11524" max="11524" width="2.7109375" style="2" customWidth="1"/>
    <col min="11525" max="11525" width="2.42578125" style="2" customWidth="1"/>
    <col min="11526" max="11526" width="11.5703125" style="2" customWidth="1"/>
    <col min="11527" max="11527" width="9.85546875" style="2" customWidth="1"/>
    <col min="11528" max="11528" width="8.5703125" style="2"/>
    <col min="11529" max="11529" width="15" style="2" customWidth="1"/>
    <col min="11530" max="11530" width="4" style="2" customWidth="1"/>
    <col min="11531" max="11531" width="14.42578125" style="2" customWidth="1"/>
    <col min="11532" max="11532" width="10.42578125" style="2" bestFit="1" customWidth="1"/>
    <col min="11533" max="11533" width="11.85546875" style="2" bestFit="1" customWidth="1"/>
    <col min="11534" max="11769" width="8.5703125" style="2"/>
    <col min="11770" max="11770" width="11.5703125" style="2" customWidth="1"/>
    <col min="11771" max="11771" width="13.140625" style="2" customWidth="1"/>
    <col min="11772" max="11778" width="2.42578125" style="2" customWidth="1"/>
    <col min="11779" max="11779" width="3" style="2" customWidth="1"/>
    <col min="11780" max="11780" width="2.7109375" style="2" customWidth="1"/>
    <col min="11781" max="11781" width="2.42578125" style="2" customWidth="1"/>
    <col min="11782" max="11782" width="11.5703125" style="2" customWidth="1"/>
    <col min="11783" max="11783" width="9.85546875" style="2" customWidth="1"/>
    <col min="11784" max="11784" width="8.5703125" style="2"/>
    <col min="11785" max="11785" width="15" style="2" customWidth="1"/>
    <col min="11786" max="11786" width="4" style="2" customWidth="1"/>
    <col min="11787" max="11787" width="14.42578125" style="2" customWidth="1"/>
    <col min="11788" max="11788" width="10.42578125" style="2" bestFit="1" customWidth="1"/>
    <col min="11789" max="11789" width="11.85546875" style="2" bestFit="1" customWidth="1"/>
    <col min="11790" max="12025" width="8.5703125" style="2"/>
    <col min="12026" max="12026" width="11.5703125" style="2" customWidth="1"/>
    <col min="12027" max="12027" width="13.140625" style="2" customWidth="1"/>
    <col min="12028" max="12034" width="2.42578125" style="2" customWidth="1"/>
    <col min="12035" max="12035" width="3" style="2" customWidth="1"/>
    <col min="12036" max="12036" width="2.7109375" style="2" customWidth="1"/>
    <col min="12037" max="12037" width="2.42578125" style="2" customWidth="1"/>
    <col min="12038" max="12038" width="11.5703125" style="2" customWidth="1"/>
    <col min="12039" max="12039" width="9.85546875" style="2" customWidth="1"/>
    <col min="12040" max="12040" width="8.5703125" style="2"/>
    <col min="12041" max="12041" width="15" style="2" customWidth="1"/>
    <col min="12042" max="12042" width="4" style="2" customWidth="1"/>
    <col min="12043" max="12043" width="14.42578125" style="2" customWidth="1"/>
    <col min="12044" max="12044" width="10.42578125" style="2" bestFit="1" customWidth="1"/>
    <col min="12045" max="12045" width="11.85546875" style="2" bestFit="1" customWidth="1"/>
    <col min="12046" max="12281" width="8.5703125" style="2"/>
    <col min="12282" max="12282" width="11.5703125" style="2" customWidth="1"/>
    <col min="12283" max="12283" width="13.140625" style="2" customWidth="1"/>
    <col min="12284" max="12290" width="2.42578125" style="2" customWidth="1"/>
    <col min="12291" max="12291" width="3" style="2" customWidth="1"/>
    <col min="12292" max="12292" width="2.7109375" style="2" customWidth="1"/>
    <col min="12293" max="12293" width="2.42578125" style="2" customWidth="1"/>
    <col min="12294" max="12294" width="11.5703125" style="2" customWidth="1"/>
    <col min="12295" max="12295" width="9.85546875" style="2" customWidth="1"/>
    <col min="12296" max="12296" width="8.5703125" style="2"/>
    <col min="12297" max="12297" width="15" style="2" customWidth="1"/>
    <col min="12298" max="12298" width="4" style="2" customWidth="1"/>
    <col min="12299" max="12299" width="14.42578125" style="2" customWidth="1"/>
    <col min="12300" max="12300" width="10.42578125" style="2" bestFit="1" customWidth="1"/>
    <col min="12301" max="12301" width="11.85546875" style="2" bestFit="1" customWidth="1"/>
    <col min="12302" max="12537" width="8.5703125" style="2"/>
    <col min="12538" max="12538" width="11.5703125" style="2" customWidth="1"/>
    <col min="12539" max="12539" width="13.140625" style="2" customWidth="1"/>
    <col min="12540" max="12546" width="2.42578125" style="2" customWidth="1"/>
    <col min="12547" max="12547" width="3" style="2" customWidth="1"/>
    <col min="12548" max="12548" width="2.7109375" style="2" customWidth="1"/>
    <col min="12549" max="12549" width="2.42578125" style="2" customWidth="1"/>
    <col min="12550" max="12550" width="11.5703125" style="2" customWidth="1"/>
    <col min="12551" max="12551" width="9.85546875" style="2" customWidth="1"/>
    <col min="12552" max="12552" width="8.5703125" style="2"/>
    <col min="12553" max="12553" width="15" style="2" customWidth="1"/>
    <col min="12554" max="12554" width="4" style="2" customWidth="1"/>
    <col min="12555" max="12555" width="14.42578125" style="2" customWidth="1"/>
    <col min="12556" max="12556" width="10.42578125" style="2" bestFit="1" customWidth="1"/>
    <col min="12557" max="12557" width="11.85546875" style="2" bestFit="1" customWidth="1"/>
    <col min="12558" max="12793" width="8.5703125" style="2"/>
    <col min="12794" max="12794" width="11.5703125" style="2" customWidth="1"/>
    <col min="12795" max="12795" width="13.140625" style="2" customWidth="1"/>
    <col min="12796" max="12802" width="2.42578125" style="2" customWidth="1"/>
    <col min="12803" max="12803" width="3" style="2" customWidth="1"/>
    <col min="12804" max="12804" width="2.7109375" style="2" customWidth="1"/>
    <col min="12805" max="12805" width="2.42578125" style="2" customWidth="1"/>
    <col min="12806" max="12806" width="11.5703125" style="2" customWidth="1"/>
    <col min="12807" max="12807" width="9.85546875" style="2" customWidth="1"/>
    <col min="12808" max="12808" width="8.5703125" style="2"/>
    <col min="12809" max="12809" width="15" style="2" customWidth="1"/>
    <col min="12810" max="12810" width="4" style="2" customWidth="1"/>
    <col min="12811" max="12811" width="14.42578125" style="2" customWidth="1"/>
    <col min="12812" max="12812" width="10.42578125" style="2" bestFit="1" customWidth="1"/>
    <col min="12813" max="12813" width="11.85546875" style="2" bestFit="1" customWidth="1"/>
    <col min="12814" max="13049" width="8.5703125" style="2"/>
    <col min="13050" max="13050" width="11.5703125" style="2" customWidth="1"/>
    <col min="13051" max="13051" width="13.140625" style="2" customWidth="1"/>
    <col min="13052" max="13058" width="2.42578125" style="2" customWidth="1"/>
    <col min="13059" max="13059" width="3" style="2" customWidth="1"/>
    <col min="13060" max="13060" width="2.7109375" style="2" customWidth="1"/>
    <col min="13061" max="13061" width="2.42578125" style="2" customWidth="1"/>
    <col min="13062" max="13062" width="11.5703125" style="2" customWidth="1"/>
    <col min="13063" max="13063" width="9.85546875" style="2" customWidth="1"/>
    <col min="13064" max="13064" width="8.5703125" style="2"/>
    <col min="13065" max="13065" width="15" style="2" customWidth="1"/>
    <col min="13066" max="13066" width="4" style="2" customWidth="1"/>
    <col min="13067" max="13067" width="14.42578125" style="2" customWidth="1"/>
    <col min="13068" max="13068" width="10.42578125" style="2" bestFit="1" customWidth="1"/>
    <col min="13069" max="13069" width="11.85546875" style="2" bestFit="1" customWidth="1"/>
    <col min="13070" max="13305" width="8.5703125" style="2"/>
    <col min="13306" max="13306" width="11.5703125" style="2" customWidth="1"/>
    <col min="13307" max="13307" width="13.140625" style="2" customWidth="1"/>
    <col min="13308" max="13314" width="2.42578125" style="2" customWidth="1"/>
    <col min="13315" max="13315" width="3" style="2" customWidth="1"/>
    <col min="13316" max="13316" width="2.7109375" style="2" customWidth="1"/>
    <col min="13317" max="13317" width="2.42578125" style="2" customWidth="1"/>
    <col min="13318" max="13318" width="11.5703125" style="2" customWidth="1"/>
    <col min="13319" max="13319" width="9.85546875" style="2" customWidth="1"/>
    <col min="13320" max="13320" width="8.5703125" style="2"/>
    <col min="13321" max="13321" width="15" style="2" customWidth="1"/>
    <col min="13322" max="13322" width="4" style="2" customWidth="1"/>
    <col min="13323" max="13323" width="14.42578125" style="2" customWidth="1"/>
    <col min="13324" max="13324" width="10.42578125" style="2" bestFit="1" customWidth="1"/>
    <col min="13325" max="13325" width="11.85546875" style="2" bestFit="1" customWidth="1"/>
    <col min="13326" max="13561" width="8.5703125" style="2"/>
    <col min="13562" max="13562" width="11.5703125" style="2" customWidth="1"/>
    <col min="13563" max="13563" width="13.140625" style="2" customWidth="1"/>
    <col min="13564" max="13570" width="2.42578125" style="2" customWidth="1"/>
    <col min="13571" max="13571" width="3" style="2" customWidth="1"/>
    <col min="13572" max="13572" width="2.7109375" style="2" customWidth="1"/>
    <col min="13573" max="13573" width="2.42578125" style="2" customWidth="1"/>
    <col min="13574" max="13574" width="11.5703125" style="2" customWidth="1"/>
    <col min="13575" max="13575" width="9.85546875" style="2" customWidth="1"/>
    <col min="13576" max="13576" width="8.5703125" style="2"/>
    <col min="13577" max="13577" width="15" style="2" customWidth="1"/>
    <col min="13578" max="13578" width="4" style="2" customWidth="1"/>
    <col min="13579" max="13579" width="14.42578125" style="2" customWidth="1"/>
    <col min="13580" max="13580" width="10.42578125" style="2" bestFit="1" customWidth="1"/>
    <col min="13581" max="13581" width="11.85546875" style="2" bestFit="1" customWidth="1"/>
    <col min="13582" max="13817" width="8.5703125" style="2"/>
    <col min="13818" max="13818" width="11.5703125" style="2" customWidth="1"/>
    <col min="13819" max="13819" width="13.140625" style="2" customWidth="1"/>
    <col min="13820" max="13826" width="2.42578125" style="2" customWidth="1"/>
    <col min="13827" max="13827" width="3" style="2" customWidth="1"/>
    <col min="13828" max="13828" width="2.7109375" style="2" customWidth="1"/>
    <col min="13829" max="13829" width="2.42578125" style="2" customWidth="1"/>
    <col min="13830" max="13830" width="11.5703125" style="2" customWidth="1"/>
    <col min="13831" max="13831" width="9.85546875" style="2" customWidth="1"/>
    <col min="13832" max="13832" width="8.5703125" style="2"/>
    <col min="13833" max="13833" width="15" style="2" customWidth="1"/>
    <col min="13834" max="13834" width="4" style="2" customWidth="1"/>
    <col min="13835" max="13835" width="14.42578125" style="2" customWidth="1"/>
    <col min="13836" max="13836" width="10.42578125" style="2" bestFit="1" customWidth="1"/>
    <col min="13837" max="13837" width="11.85546875" style="2" bestFit="1" customWidth="1"/>
    <col min="13838" max="14073" width="8.5703125" style="2"/>
    <col min="14074" max="14074" width="11.5703125" style="2" customWidth="1"/>
    <col min="14075" max="14075" width="13.140625" style="2" customWidth="1"/>
    <col min="14076" max="14082" width="2.42578125" style="2" customWidth="1"/>
    <col min="14083" max="14083" width="3" style="2" customWidth="1"/>
    <col min="14084" max="14084" width="2.7109375" style="2" customWidth="1"/>
    <col min="14085" max="14085" width="2.42578125" style="2" customWidth="1"/>
    <col min="14086" max="14086" width="11.5703125" style="2" customWidth="1"/>
    <col min="14087" max="14087" width="9.85546875" style="2" customWidth="1"/>
    <col min="14088" max="14088" width="8.5703125" style="2"/>
    <col min="14089" max="14089" width="15" style="2" customWidth="1"/>
    <col min="14090" max="14090" width="4" style="2" customWidth="1"/>
    <col min="14091" max="14091" width="14.42578125" style="2" customWidth="1"/>
    <col min="14092" max="14092" width="10.42578125" style="2" bestFit="1" customWidth="1"/>
    <col min="14093" max="14093" width="11.85546875" style="2" bestFit="1" customWidth="1"/>
    <col min="14094" max="14329" width="8.5703125" style="2"/>
    <col min="14330" max="14330" width="11.5703125" style="2" customWidth="1"/>
    <col min="14331" max="14331" width="13.140625" style="2" customWidth="1"/>
    <col min="14332" max="14338" width="2.42578125" style="2" customWidth="1"/>
    <col min="14339" max="14339" width="3" style="2" customWidth="1"/>
    <col min="14340" max="14340" width="2.7109375" style="2" customWidth="1"/>
    <col min="14341" max="14341" width="2.42578125" style="2" customWidth="1"/>
    <col min="14342" max="14342" width="11.5703125" style="2" customWidth="1"/>
    <col min="14343" max="14343" width="9.85546875" style="2" customWidth="1"/>
    <col min="14344" max="14344" width="8.5703125" style="2"/>
    <col min="14345" max="14345" width="15" style="2" customWidth="1"/>
    <col min="14346" max="14346" width="4" style="2" customWidth="1"/>
    <col min="14347" max="14347" width="14.42578125" style="2" customWidth="1"/>
    <col min="14348" max="14348" width="10.42578125" style="2" bestFit="1" customWidth="1"/>
    <col min="14349" max="14349" width="11.85546875" style="2" bestFit="1" customWidth="1"/>
    <col min="14350" max="14585" width="8.5703125" style="2"/>
    <col min="14586" max="14586" width="11.5703125" style="2" customWidth="1"/>
    <col min="14587" max="14587" width="13.140625" style="2" customWidth="1"/>
    <col min="14588" max="14594" width="2.42578125" style="2" customWidth="1"/>
    <col min="14595" max="14595" width="3" style="2" customWidth="1"/>
    <col min="14596" max="14596" width="2.7109375" style="2" customWidth="1"/>
    <col min="14597" max="14597" width="2.42578125" style="2" customWidth="1"/>
    <col min="14598" max="14598" width="11.5703125" style="2" customWidth="1"/>
    <col min="14599" max="14599" width="9.85546875" style="2" customWidth="1"/>
    <col min="14600" max="14600" width="8.5703125" style="2"/>
    <col min="14601" max="14601" width="15" style="2" customWidth="1"/>
    <col min="14602" max="14602" width="4" style="2" customWidth="1"/>
    <col min="14603" max="14603" width="14.42578125" style="2" customWidth="1"/>
    <col min="14604" max="14604" width="10.42578125" style="2" bestFit="1" customWidth="1"/>
    <col min="14605" max="14605" width="11.85546875" style="2" bestFit="1" customWidth="1"/>
    <col min="14606" max="14841" width="8.5703125" style="2"/>
    <col min="14842" max="14842" width="11.5703125" style="2" customWidth="1"/>
    <col min="14843" max="14843" width="13.140625" style="2" customWidth="1"/>
    <col min="14844" max="14850" width="2.42578125" style="2" customWidth="1"/>
    <col min="14851" max="14851" width="3" style="2" customWidth="1"/>
    <col min="14852" max="14852" width="2.7109375" style="2" customWidth="1"/>
    <col min="14853" max="14853" width="2.42578125" style="2" customWidth="1"/>
    <col min="14854" max="14854" width="11.5703125" style="2" customWidth="1"/>
    <col min="14855" max="14855" width="9.85546875" style="2" customWidth="1"/>
    <col min="14856" max="14856" width="8.5703125" style="2"/>
    <col min="14857" max="14857" width="15" style="2" customWidth="1"/>
    <col min="14858" max="14858" width="4" style="2" customWidth="1"/>
    <col min="14859" max="14859" width="14.42578125" style="2" customWidth="1"/>
    <col min="14860" max="14860" width="10.42578125" style="2" bestFit="1" customWidth="1"/>
    <col min="14861" max="14861" width="11.85546875" style="2" bestFit="1" customWidth="1"/>
    <col min="14862" max="15097" width="8.5703125" style="2"/>
    <col min="15098" max="15098" width="11.5703125" style="2" customWidth="1"/>
    <col min="15099" max="15099" width="13.140625" style="2" customWidth="1"/>
    <col min="15100" max="15106" width="2.42578125" style="2" customWidth="1"/>
    <col min="15107" max="15107" width="3" style="2" customWidth="1"/>
    <col min="15108" max="15108" width="2.7109375" style="2" customWidth="1"/>
    <col min="15109" max="15109" width="2.42578125" style="2" customWidth="1"/>
    <col min="15110" max="15110" width="11.5703125" style="2" customWidth="1"/>
    <col min="15111" max="15111" width="9.85546875" style="2" customWidth="1"/>
    <col min="15112" max="15112" width="8.5703125" style="2"/>
    <col min="15113" max="15113" width="15" style="2" customWidth="1"/>
    <col min="15114" max="15114" width="4" style="2" customWidth="1"/>
    <col min="15115" max="15115" width="14.42578125" style="2" customWidth="1"/>
    <col min="15116" max="15116" width="10.42578125" style="2" bestFit="1" customWidth="1"/>
    <col min="15117" max="15117" width="11.85546875" style="2" bestFit="1" customWidth="1"/>
    <col min="15118" max="15353" width="8.5703125" style="2"/>
    <col min="15354" max="15354" width="11.5703125" style="2" customWidth="1"/>
    <col min="15355" max="15355" width="13.140625" style="2" customWidth="1"/>
    <col min="15356" max="15362" width="2.42578125" style="2" customWidth="1"/>
    <col min="15363" max="15363" width="3" style="2" customWidth="1"/>
    <col min="15364" max="15364" width="2.7109375" style="2" customWidth="1"/>
    <col min="15365" max="15365" width="2.42578125" style="2" customWidth="1"/>
    <col min="15366" max="15366" width="11.5703125" style="2" customWidth="1"/>
    <col min="15367" max="15367" width="9.85546875" style="2" customWidth="1"/>
    <col min="15368" max="15368" width="8.5703125" style="2"/>
    <col min="15369" max="15369" width="15" style="2" customWidth="1"/>
    <col min="15370" max="15370" width="4" style="2" customWidth="1"/>
    <col min="15371" max="15371" width="14.42578125" style="2" customWidth="1"/>
    <col min="15372" max="15372" width="10.42578125" style="2" bestFit="1" customWidth="1"/>
    <col min="15373" max="15373" width="11.85546875" style="2" bestFit="1" customWidth="1"/>
    <col min="15374" max="15609" width="8.5703125" style="2"/>
    <col min="15610" max="15610" width="11.5703125" style="2" customWidth="1"/>
    <col min="15611" max="15611" width="13.140625" style="2" customWidth="1"/>
    <col min="15612" max="15618" width="2.42578125" style="2" customWidth="1"/>
    <col min="15619" max="15619" width="3" style="2" customWidth="1"/>
    <col min="15620" max="15620" width="2.7109375" style="2" customWidth="1"/>
    <col min="15621" max="15621" width="2.42578125" style="2" customWidth="1"/>
    <col min="15622" max="15622" width="11.5703125" style="2" customWidth="1"/>
    <col min="15623" max="15623" width="9.85546875" style="2" customWidth="1"/>
    <col min="15624" max="15624" width="8.5703125" style="2"/>
    <col min="15625" max="15625" width="15" style="2" customWidth="1"/>
    <col min="15626" max="15626" width="4" style="2" customWidth="1"/>
    <col min="15627" max="15627" width="14.42578125" style="2" customWidth="1"/>
    <col min="15628" max="15628" width="10.42578125" style="2" bestFit="1" customWidth="1"/>
    <col min="15629" max="15629" width="11.85546875" style="2" bestFit="1" customWidth="1"/>
    <col min="15630" max="15865" width="8.5703125" style="2"/>
    <col min="15866" max="15866" width="11.5703125" style="2" customWidth="1"/>
    <col min="15867" max="15867" width="13.140625" style="2" customWidth="1"/>
    <col min="15868" max="15874" width="2.42578125" style="2" customWidth="1"/>
    <col min="15875" max="15875" width="3" style="2" customWidth="1"/>
    <col min="15876" max="15876" width="2.7109375" style="2" customWidth="1"/>
    <col min="15877" max="15877" width="2.42578125" style="2" customWidth="1"/>
    <col min="15878" max="15878" width="11.5703125" style="2" customWidth="1"/>
    <col min="15879" max="15879" width="9.85546875" style="2" customWidth="1"/>
    <col min="15880" max="15880" width="8.5703125" style="2"/>
    <col min="15881" max="15881" width="15" style="2" customWidth="1"/>
    <col min="15882" max="15882" width="4" style="2" customWidth="1"/>
    <col min="15883" max="15883" width="14.42578125" style="2" customWidth="1"/>
    <col min="15884" max="15884" width="10.42578125" style="2" bestFit="1" customWidth="1"/>
    <col min="15885" max="15885" width="11.85546875" style="2" bestFit="1" customWidth="1"/>
    <col min="15886" max="16121" width="8.5703125" style="2"/>
    <col min="16122" max="16122" width="11.5703125" style="2" customWidth="1"/>
    <col min="16123" max="16123" width="13.140625" style="2" customWidth="1"/>
    <col min="16124" max="16130" width="2.42578125" style="2" customWidth="1"/>
    <col min="16131" max="16131" width="3" style="2" customWidth="1"/>
    <col min="16132" max="16132" width="2.7109375" style="2" customWidth="1"/>
    <col min="16133" max="16133" width="2.42578125" style="2" customWidth="1"/>
    <col min="16134" max="16134" width="11.5703125" style="2" customWidth="1"/>
    <col min="16135" max="16135" width="9.85546875" style="2" customWidth="1"/>
    <col min="16136" max="16136" width="8.5703125" style="2"/>
    <col min="16137" max="16137" width="15" style="2" customWidth="1"/>
    <col min="16138" max="16138" width="4" style="2" customWidth="1"/>
    <col min="16139" max="16139" width="14.42578125" style="2" customWidth="1"/>
    <col min="16140" max="16140" width="10.42578125" style="2" bestFit="1" customWidth="1"/>
    <col min="16141" max="16141" width="11.85546875" style="2" bestFit="1" customWidth="1"/>
    <col min="16142" max="16384" width="8.5703125" style="2"/>
  </cols>
  <sheetData>
    <row r="1" spans="2:13" ht="18.75" customHeight="1" x14ac:dyDescent="0.25">
      <c r="B1" s="11" t="s">
        <v>1</v>
      </c>
      <c r="C1" s="56"/>
      <c r="D1" s="104"/>
      <c r="E1" s="104"/>
      <c r="F1" s="12" t="s">
        <v>2</v>
      </c>
      <c r="I1" s="102"/>
      <c r="J1" s="103"/>
      <c r="K1" s="71"/>
      <c r="M1" s="76"/>
    </row>
    <row r="2" spans="2:13" ht="21.75" customHeight="1" thickBot="1" x14ac:dyDescent="0.3">
      <c r="B2" s="10" t="s">
        <v>3</v>
      </c>
      <c r="C2" s="5"/>
      <c r="E2" s="13"/>
      <c r="F2" s="67" t="s">
        <v>56</v>
      </c>
      <c r="G2" s="105"/>
      <c r="H2" s="68" t="s">
        <v>57</v>
      </c>
      <c r="I2" s="69"/>
      <c r="J2" s="70"/>
      <c r="K2" s="72"/>
      <c r="M2" s="77"/>
    </row>
    <row r="3" spans="2:13" s="21" customFormat="1" ht="19.5" customHeight="1" thickTop="1" x14ac:dyDescent="0.25">
      <c r="B3" s="19" t="s">
        <v>4</v>
      </c>
      <c r="C3" s="19" t="s">
        <v>50</v>
      </c>
      <c r="D3" s="19" t="s">
        <v>64</v>
      </c>
      <c r="E3" s="86" t="s">
        <v>5</v>
      </c>
      <c r="F3" s="19" t="s">
        <v>6</v>
      </c>
      <c r="G3" s="19" t="s">
        <v>7</v>
      </c>
      <c r="H3" s="19" t="s">
        <v>52</v>
      </c>
      <c r="I3" s="20" t="s">
        <v>8</v>
      </c>
      <c r="J3" s="97" t="s">
        <v>65</v>
      </c>
      <c r="K3" s="19" t="s">
        <v>59</v>
      </c>
      <c r="L3" s="62" t="s">
        <v>54</v>
      </c>
      <c r="M3" s="62" t="s">
        <v>60</v>
      </c>
    </row>
    <row r="4" spans="2:13" ht="15" customHeight="1" thickBot="1" x14ac:dyDescent="0.3">
      <c r="B4" s="22" t="s">
        <v>9</v>
      </c>
      <c r="C4" s="22" t="s">
        <v>51</v>
      </c>
      <c r="D4" s="23" t="s">
        <v>63</v>
      </c>
      <c r="E4" s="87" t="s">
        <v>10</v>
      </c>
      <c r="F4" s="24" t="s">
        <v>11</v>
      </c>
      <c r="G4" s="24" t="s">
        <v>12</v>
      </c>
      <c r="H4" s="24" t="s">
        <v>53</v>
      </c>
      <c r="I4" s="25" t="s">
        <v>13</v>
      </c>
      <c r="J4" s="87" t="s">
        <v>66</v>
      </c>
      <c r="K4" s="25" t="s">
        <v>58</v>
      </c>
      <c r="L4" s="63" t="s">
        <v>55</v>
      </c>
      <c r="M4" s="63" t="s">
        <v>61</v>
      </c>
    </row>
    <row r="5" spans="2:13" s="30" customFormat="1" ht="18" customHeight="1" thickTop="1" x14ac:dyDescent="0.25">
      <c r="B5" s="26"/>
      <c r="C5" s="26"/>
      <c r="D5" s="27"/>
      <c r="E5" s="88"/>
      <c r="F5" s="28"/>
      <c r="G5" s="28"/>
      <c r="H5" s="28"/>
      <c r="I5" s="29"/>
      <c r="J5" s="92"/>
      <c r="K5" s="98"/>
      <c r="L5" s="64"/>
      <c r="M5" s="64"/>
    </row>
    <row r="6" spans="2:13" s="30" customFormat="1" ht="30" customHeight="1" x14ac:dyDescent="0.25">
      <c r="B6" s="31">
        <v>1</v>
      </c>
      <c r="C6" s="31"/>
      <c r="D6" s="79"/>
      <c r="E6" s="84"/>
      <c r="F6" s="80"/>
      <c r="G6" s="28" t="s">
        <v>14</v>
      </c>
      <c r="H6" s="28"/>
      <c r="I6" s="83"/>
      <c r="J6" s="90">
        <f>I6*F6</f>
        <v>0</v>
      </c>
      <c r="K6" s="99"/>
      <c r="L6" s="65">
        <f t="shared" ref="L6:L37" si="0">+H6+K6-F6</f>
        <v>0</v>
      </c>
      <c r="M6" s="65" t="s">
        <v>62</v>
      </c>
    </row>
    <row r="7" spans="2:13" s="30" customFormat="1" ht="30" customHeight="1" x14ac:dyDescent="0.25">
      <c r="B7" s="31"/>
      <c r="C7" s="31"/>
      <c r="D7" s="79"/>
      <c r="E7" s="84"/>
      <c r="F7" s="80"/>
      <c r="G7" s="28" t="s">
        <v>14</v>
      </c>
      <c r="H7" s="28"/>
      <c r="I7" s="83"/>
      <c r="J7" s="90">
        <f t="shared" ref="J7:J13" si="1">I7*F7</f>
        <v>0</v>
      </c>
      <c r="K7" s="99"/>
      <c r="L7" s="65">
        <f t="shared" si="0"/>
        <v>0</v>
      </c>
      <c r="M7" s="65"/>
    </row>
    <row r="8" spans="2:13" s="30" customFormat="1" ht="30" customHeight="1" x14ac:dyDescent="0.25">
      <c r="B8" s="31"/>
      <c r="C8" s="31"/>
      <c r="D8" s="79"/>
      <c r="E8" s="84"/>
      <c r="F8" s="80"/>
      <c r="G8" s="28" t="s">
        <v>14</v>
      </c>
      <c r="H8" s="28"/>
      <c r="I8" s="83"/>
      <c r="J8" s="90">
        <f t="shared" si="1"/>
        <v>0</v>
      </c>
      <c r="K8" s="99"/>
      <c r="L8" s="65">
        <f t="shared" si="0"/>
        <v>0</v>
      </c>
      <c r="M8" s="65"/>
    </row>
    <row r="9" spans="2:13" s="30" customFormat="1" ht="30" customHeight="1" x14ac:dyDescent="0.25">
      <c r="B9" s="31"/>
      <c r="C9" s="31"/>
      <c r="D9" s="79"/>
      <c r="E9" s="84"/>
      <c r="F9" s="80"/>
      <c r="G9" s="28" t="s">
        <v>14</v>
      </c>
      <c r="H9" s="28"/>
      <c r="I9" s="83"/>
      <c r="J9" s="90">
        <f t="shared" si="1"/>
        <v>0</v>
      </c>
      <c r="K9" s="99"/>
      <c r="L9" s="65">
        <f t="shared" si="0"/>
        <v>0</v>
      </c>
      <c r="M9" s="65"/>
    </row>
    <row r="10" spans="2:13" s="30" customFormat="1" ht="30" customHeight="1" x14ac:dyDescent="0.25">
      <c r="B10" s="31"/>
      <c r="C10" s="31"/>
      <c r="D10" s="79"/>
      <c r="E10" s="85"/>
      <c r="F10" s="80"/>
      <c r="G10" s="28" t="s">
        <v>14</v>
      </c>
      <c r="H10" s="28"/>
      <c r="I10" s="83"/>
      <c r="J10" s="90">
        <f t="shared" si="1"/>
        <v>0</v>
      </c>
      <c r="K10" s="99"/>
      <c r="L10" s="65">
        <f t="shared" si="0"/>
        <v>0</v>
      </c>
      <c r="M10" s="65"/>
    </row>
    <row r="11" spans="2:13" s="30" customFormat="1" ht="30" customHeight="1" x14ac:dyDescent="0.25">
      <c r="B11" s="31"/>
      <c r="C11" s="31"/>
      <c r="D11" s="79"/>
      <c r="E11" s="85"/>
      <c r="F11" s="80"/>
      <c r="G11" s="28" t="s">
        <v>14</v>
      </c>
      <c r="H11" s="28"/>
      <c r="I11" s="83"/>
      <c r="J11" s="90">
        <f t="shared" si="1"/>
        <v>0</v>
      </c>
      <c r="K11" s="99"/>
      <c r="L11" s="65">
        <f t="shared" si="0"/>
        <v>0</v>
      </c>
      <c r="M11" s="65"/>
    </row>
    <row r="12" spans="2:13" s="30" customFormat="1" ht="30" customHeight="1" x14ac:dyDescent="0.25">
      <c r="B12" s="31"/>
      <c r="C12" s="31"/>
      <c r="D12" s="79"/>
      <c r="E12" s="85"/>
      <c r="F12" s="80"/>
      <c r="G12" s="28" t="s">
        <v>14</v>
      </c>
      <c r="H12" s="28"/>
      <c r="I12" s="83"/>
      <c r="J12" s="90">
        <f t="shared" si="1"/>
        <v>0</v>
      </c>
      <c r="K12" s="99"/>
      <c r="L12" s="65">
        <f t="shared" si="0"/>
        <v>0</v>
      </c>
      <c r="M12" s="65"/>
    </row>
    <row r="13" spans="2:13" s="30" customFormat="1" ht="18" customHeight="1" x14ac:dyDescent="0.25">
      <c r="B13" s="31"/>
      <c r="C13" s="31"/>
      <c r="D13" s="79"/>
      <c r="E13" s="84"/>
      <c r="F13" s="80"/>
      <c r="G13" s="28" t="s">
        <v>14</v>
      </c>
      <c r="H13" s="28"/>
      <c r="I13" s="83"/>
      <c r="J13" s="90">
        <f t="shared" si="1"/>
        <v>0</v>
      </c>
      <c r="K13" s="100"/>
      <c r="L13" s="65">
        <f t="shared" si="0"/>
        <v>0</v>
      </c>
      <c r="M13" s="65" t="s">
        <v>62</v>
      </c>
    </row>
    <row r="14" spans="2:13" s="30" customFormat="1" ht="18" customHeight="1" x14ac:dyDescent="0.25">
      <c r="B14" s="31"/>
      <c r="C14" s="31"/>
      <c r="D14" s="79"/>
      <c r="E14" s="84"/>
      <c r="F14" s="80"/>
      <c r="G14" s="28" t="s">
        <v>14</v>
      </c>
      <c r="H14" s="28"/>
      <c r="I14" s="83"/>
      <c r="J14" s="90">
        <f t="shared" ref="J14" si="2">I14*F14</f>
        <v>0</v>
      </c>
      <c r="K14" s="100"/>
      <c r="L14" s="65">
        <f t="shared" si="0"/>
        <v>0</v>
      </c>
      <c r="M14" s="65"/>
    </row>
    <row r="15" spans="2:13" s="30" customFormat="1" ht="18" customHeight="1" x14ac:dyDescent="0.25">
      <c r="B15" s="31"/>
      <c r="C15" s="31"/>
      <c r="D15" s="79"/>
      <c r="E15" s="84"/>
      <c r="F15" s="80"/>
      <c r="G15" s="28" t="s">
        <v>14</v>
      </c>
      <c r="H15" s="28"/>
      <c r="I15" s="83"/>
      <c r="J15" s="90">
        <f t="shared" ref="J15:J24" si="3">I15*F15</f>
        <v>0</v>
      </c>
      <c r="K15" s="100"/>
      <c r="L15" s="65">
        <f t="shared" si="0"/>
        <v>0</v>
      </c>
      <c r="M15" s="65"/>
    </row>
    <row r="16" spans="2:13" s="30" customFormat="1" ht="18" customHeight="1" x14ac:dyDescent="0.25">
      <c r="B16" s="31"/>
      <c r="C16" s="31"/>
      <c r="D16" s="79"/>
      <c r="E16" s="84"/>
      <c r="F16" s="80"/>
      <c r="G16" s="28" t="s">
        <v>14</v>
      </c>
      <c r="H16" s="28"/>
      <c r="I16" s="83"/>
      <c r="J16" s="90">
        <f t="shared" si="3"/>
        <v>0</v>
      </c>
      <c r="K16" s="100"/>
      <c r="L16" s="65">
        <f t="shared" si="0"/>
        <v>0</v>
      </c>
      <c r="M16" s="65"/>
    </row>
    <row r="17" spans="2:13" s="30" customFormat="1" ht="18" customHeight="1" x14ac:dyDescent="0.25">
      <c r="B17" s="31"/>
      <c r="C17" s="31"/>
      <c r="D17" s="79"/>
      <c r="E17" s="84"/>
      <c r="F17" s="80"/>
      <c r="G17" s="28" t="s">
        <v>14</v>
      </c>
      <c r="H17" s="28"/>
      <c r="I17" s="83"/>
      <c r="J17" s="90">
        <f t="shared" si="3"/>
        <v>0</v>
      </c>
      <c r="K17" s="100"/>
      <c r="L17" s="65">
        <f t="shared" si="0"/>
        <v>0</v>
      </c>
      <c r="M17" s="65"/>
    </row>
    <row r="18" spans="2:13" s="30" customFormat="1" ht="18" customHeight="1" x14ac:dyDescent="0.25">
      <c r="B18" s="31"/>
      <c r="C18" s="31"/>
      <c r="D18" s="79"/>
      <c r="E18" s="84"/>
      <c r="F18" s="80"/>
      <c r="G18" s="28" t="s">
        <v>14</v>
      </c>
      <c r="H18" s="28"/>
      <c r="I18" s="83"/>
      <c r="J18" s="90">
        <f t="shared" si="3"/>
        <v>0</v>
      </c>
      <c r="K18" s="100"/>
      <c r="L18" s="65">
        <f t="shared" si="0"/>
        <v>0</v>
      </c>
      <c r="M18" s="65"/>
    </row>
    <row r="19" spans="2:13" s="30" customFormat="1" ht="18" customHeight="1" x14ac:dyDescent="0.25">
      <c r="B19" s="31"/>
      <c r="C19" s="31"/>
      <c r="D19" s="79"/>
      <c r="E19" s="84"/>
      <c r="F19" s="80"/>
      <c r="G19" s="28" t="s">
        <v>14</v>
      </c>
      <c r="H19" s="28"/>
      <c r="I19" s="83"/>
      <c r="J19" s="90">
        <f t="shared" si="3"/>
        <v>0</v>
      </c>
      <c r="K19" s="100"/>
      <c r="L19" s="65">
        <f t="shared" si="0"/>
        <v>0</v>
      </c>
      <c r="M19" s="65"/>
    </row>
    <row r="20" spans="2:13" s="30" customFormat="1" ht="18" customHeight="1" x14ac:dyDescent="0.4">
      <c r="B20" s="31"/>
      <c r="C20" s="31"/>
      <c r="D20" s="79"/>
      <c r="E20" s="84"/>
      <c r="F20" s="81"/>
      <c r="G20" s="28" t="s">
        <v>14</v>
      </c>
      <c r="H20" s="28"/>
      <c r="I20" s="83"/>
      <c r="J20" s="90">
        <f t="shared" si="3"/>
        <v>0</v>
      </c>
      <c r="K20" s="100"/>
      <c r="L20" s="65">
        <f t="shared" si="0"/>
        <v>0</v>
      </c>
      <c r="M20" s="65"/>
    </row>
    <row r="21" spans="2:13" s="30" customFormat="1" ht="18" customHeight="1" x14ac:dyDescent="0.4">
      <c r="B21" s="31"/>
      <c r="C21" s="31"/>
      <c r="D21" s="79"/>
      <c r="E21" s="84"/>
      <c r="F21" s="82"/>
      <c r="G21" s="28" t="s">
        <v>14</v>
      </c>
      <c r="H21" s="28"/>
      <c r="I21" s="83"/>
      <c r="J21" s="90">
        <f t="shared" si="3"/>
        <v>0</v>
      </c>
      <c r="K21" s="100"/>
      <c r="L21" s="65">
        <f t="shared" si="0"/>
        <v>0</v>
      </c>
      <c r="M21" s="65"/>
    </row>
    <row r="22" spans="2:13" s="30" customFormat="1" ht="18" customHeight="1" x14ac:dyDescent="0.25">
      <c r="B22" s="31"/>
      <c r="C22" s="31"/>
      <c r="D22" s="32"/>
      <c r="E22" s="84"/>
      <c r="F22" s="33"/>
      <c r="G22" s="28"/>
      <c r="H22" s="28"/>
      <c r="I22" s="34"/>
      <c r="J22" s="90">
        <f t="shared" si="3"/>
        <v>0</v>
      </c>
      <c r="K22" s="100"/>
      <c r="L22" s="65">
        <f t="shared" si="0"/>
        <v>0</v>
      </c>
      <c r="M22" s="65"/>
    </row>
    <row r="23" spans="2:13" s="30" customFormat="1" ht="18" customHeight="1" x14ac:dyDescent="0.25">
      <c r="B23" s="31"/>
      <c r="C23" s="31"/>
      <c r="D23" s="32"/>
      <c r="E23" s="84"/>
      <c r="F23" s="33"/>
      <c r="G23" s="28"/>
      <c r="H23" s="28"/>
      <c r="I23" s="34"/>
      <c r="J23" s="90">
        <f t="shared" si="3"/>
        <v>0</v>
      </c>
      <c r="K23" s="100"/>
      <c r="L23" s="65">
        <f t="shared" si="0"/>
        <v>0</v>
      </c>
      <c r="M23" s="65"/>
    </row>
    <row r="24" spans="2:13" s="30" customFormat="1" ht="18" customHeight="1" x14ac:dyDescent="0.25">
      <c r="B24" s="31"/>
      <c r="C24" s="31"/>
      <c r="D24" s="32"/>
      <c r="E24" s="84"/>
      <c r="F24" s="33"/>
      <c r="G24" s="28"/>
      <c r="H24" s="28"/>
      <c r="I24" s="34"/>
      <c r="J24" s="90">
        <f t="shared" si="3"/>
        <v>0</v>
      </c>
      <c r="K24" s="100"/>
      <c r="L24" s="65">
        <f t="shared" si="0"/>
        <v>0</v>
      </c>
      <c r="M24" s="65"/>
    </row>
    <row r="25" spans="2:13" s="30" customFormat="1" ht="18" customHeight="1" x14ac:dyDescent="0.25">
      <c r="B25" s="31"/>
      <c r="C25" s="31"/>
      <c r="D25" s="32"/>
      <c r="E25" s="84"/>
      <c r="F25" s="33"/>
      <c r="G25" s="28"/>
      <c r="H25" s="28"/>
      <c r="I25" s="34"/>
      <c r="J25" s="90">
        <f t="shared" ref="J25:J88" si="4">I25*F25</f>
        <v>0</v>
      </c>
      <c r="K25" s="100"/>
      <c r="L25" s="65">
        <f t="shared" si="0"/>
        <v>0</v>
      </c>
      <c r="M25" s="65"/>
    </row>
    <row r="26" spans="2:13" s="30" customFormat="1" ht="18" customHeight="1" x14ac:dyDescent="0.25">
      <c r="B26" s="31"/>
      <c r="C26" s="31"/>
      <c r="D26" s="32"/>
      <c r="E26" s="84"/>
      <c r="F26" s="33"/>
      <c r="G26" s="28"/>
      <c r="H26" s="28"/>
      <c r="I26" s="34"/>
      <c r="J26" s="90">
        <f t="shared" si="4"/>
        <v>0</v>
      </c>
      <c r="K26" s="100"/>
      <c r="L26" s="65">
        <f t="shared" si="0"/>
        <v>0</v>
      </c>
      <c r="M26" s="65"/>
    </row>
    <row r="27" spans="2:13" s="30" customFormat="1" ht="18" customHeight="1" x14ac:dyDescent="0.25">
      <c r="B27" s="31"/>
      <c r="C27" s="31"/>
      <c r="D27" s="32"/>
      <c r="E27" s="84"/>
      <c r="F27" s="33"/>
      <c r="G27" s="28"/>
      <c r="H27" s="28"/>
      <c r="I27" s="34"/>
      <c r="J27" s="90">
        <f t="shared" si="4"/>
        <v>0</v>
      </c>
      <c r="K27" s="100"/>
      <c r="L27" s="65">
        <f t="shared" si="0"/>
        <v>0</v>
      </c>
      <c r="M27" s="65"/>
    </row>
    <row r="28" spans="2:13" s="30" customFormat="1" ht="18" customHeight="1" x14ac:dyDescent="0.25">
      <c r="B28" s="31"/>
      <c r="C28" s="31"/>
      <c r="D28" s="32"/>
      <c r="E28" s="84"/>
      <c r="F28" s="33"/>
      <c r="G28" s="28"/>
      <c r="H28" s="28"/>
      <c r="I28" s="34"/>
      <c r="J28" s="90">
        <f t="shared" si="4"/>
        <v>0</v>
      </c>
      <c r="K28" s="100"/>
      <c r="L28" s="65">
        <f t="shared" si="0"/>
        <v>0</v>
      </c>
      <c r="M28" s="65"/>
    </row>
    <row r="29" spans="2:13" s="30" customFormat="1" ht="18" customHeight="1" x14ac:dyDescent="0.25">
      <c r="B29" s="31"/>
      <c r="C29" s="31"/>
      <c r="D29" s="32"/>
      <c r="E29" s="84"/>
      <c r="F29" s="33"/>
      <c r="G29" s="28"/>
      <c r="H29" s="28"/>
      <c r="I29" s="34"/>
      <c r="J29" s="90">
        <f t="shared" si="4"/>
        <v>0</v>
      </c>
      <c r="K29" s="100"/>
      <c r="L29" s="65">
        <f t="shared" si="0"/>
        <v>0</v>
      </c>
      <c r="M29" s="65"/>
    </row>
    <row r="30" spans="2:13" s="30" customFormat="1" ht="18" customHeight="1" x14ac:dyDescent="0.25">
      <c r="B30" s="31"/>
      <c r="C30" s="31"/>
      <c r="D30" s="32"/>
      <c r="E30" s="84"/>
      <c r="F30" s="33"/>
      <c r="G30" s="28"/>
      <c r="H30" s="28"/>
      <c r="I30" s="34"/>
      <c r="J30" s="90">
        <f t="shared" si="4"/>
        <v>0</v>
      </c>
      <c r="K30" s="100"/>
      <c r="L30" s="65">
        <f t="shared" si="0"/>
        <v>0</v>
      </c>
      <c r="M30" s="65"/>
    </row>
    <row r="31" spans="2:13" s="30" customFormat="1" ht="18" customHeight="1" x14ac:dyDescent="0.25">
      <c r="B31" s="31"/>
      <c r="C31" s="31"/>
      <c r="D31" s="32"/>
      <c r="E31" s="84"/>
      <c r="F31" s="33"/>
      <c r="G31" s="28"/>
      <c r="H31" s="28"/>
      <c r="I31" s="34"/>
      <c r="J31" s="90">
        <f t="shared" si="4"/>
        <v>0</v>
      </c>
      <c r="K31" s="100"/>
      <c r="L31" s="65">
        <f t="shared" si="0"/>
        <v>0</v>
      </c>
      <c r="M31" s="65"/>
    </row>
    <row r="32" spans="2:13" s="30" customFormat="1" ht="18" customHeight="1" x14ac:dyDescent="0.25">
      <c r="B32" s="31"/>
      <c r="C32" s="31"/>
      <c r="D32" s="32"/>
      <c r="E32" s="84"/>
      <c r="F32" s="33"/>
      <c r="G32" s="28"/>
      <c r="H32" s="28"/>
      <c r="I32" s="34"/>
      <c r="J32" s="90">
        <f t="shared" si="4"/>
        <v>0</v>
      </c>
      <c r="K32" s="100"/>
      <c r="L32" s="65">
        <f t="shared" si="0"/>
        <v>0</v>
      </c>
      <c r="M32" s="65"/>
    </row>
    <row r="33" spans="2:13" s="30" customFormat="1" ht="18" customHeight="1" x14ac:dyDescent="0.25">
      <c r="B33" s="31"/>
      <c r="C33" s="31"/>
      <c r="D33" s="32"/>
      <c r="E33" s="84"/>
      <c r="F33" s="33"/>
      <c r="G33" s="28"/>
      <c r="H33" s="28"/>
      <c r="I33" s="34"/>
      <c r="J33" s="90">
        <f t="shared" si="4"/>
        <v>0</v>
      </c>
      <c r="K33" s="100"/>
      <c r="L33" s="65">
        <f t="shared" si="0"/>
        <v>0</v>
      </c>
      <c r="M33" s="65"/>
    </row>
    <row r="34" spans="2:13" s="30" customFormat="1" ht="18" customHeight="1" x14ac:dyDescent="0.25">
      <c r="B34" s="31"/>
      <c r="C34" s="31"/>
      <c r="D34" s="32"/>
      <c r="E34" s="84"/>
      <c r="F34" s="33"/>
      <c r="G34" s="28"/>
      <c r="H34" s="28"/>
      <c r="I34" s="34"/>
      <c r="J34" s="90">
        <f t="shared" si="4"/>
        <v>0</v>
      </c>
      <c r="K34" s="100"/>
      <c r="L34" s="65">
        <f t="shared" si="0"/>
        <v>0</v>
      </c>
      <c r="M34" s="65"/>
    </row>
    <row r="35" spans="2:13" s="30" customFormat="1" ht="18" customHeight="1" x14ac:dyDescent="0.25">
      <c r="B35" s="31"/>
      <c r="C35" s="31"/>
      <c r="D35" s="32"/>
      <c r="E35" s="84"/>
      <c r="F35" s="33"/>
      <c r="G35" s="28"/>
      <c r="H35" s="28"/>
      <c r="I35" s="34"/>
      <c r="J35" s="90">
        <f t="shared" si="4"/>
        <v>0</v>
      </c>
      <c r="K35" s="100"/>
      <c r="L35" s="65">
        <f t="shared" si="0"/>
        <v>0</v>
      </c>
      <c r="M35" s="65"/>
    </row>
    <row r="36" spans="2:13" s="30" customFormat="1" ht="18" customHeight="1" x14ac:dyDescent="0.25">
      <c r="B36" s="31"/>
      <c r="C36" s="31"/>
      <c r="D36" s="32"/>
      <c r="E36" s="84"/>
      <c r="F36" s="33"/>
      <c r="G36" s="28"/>
      <c r="H36" s="28"/>
      <c r="I36" s="34"/>
      <c r="J36" s="90">
        <f t="shared" si="4"/>
        <v>0</v>
      </c>
      <c r="K36" s="100"/>
      <c r="L36" s="65">
        <f t="shared" si="0"/>
        <v>0</v>
      </c>
      <c r="M36" s="65"/>
    </row>
    <row r="37" spans="2:13" s="30" customFormat="1" ht="18" customHeight="1" x14ac:dyDescent="0.25">
      <c r="B37" s="31"/>
      <c r="C37" s="31"/>
      <c r="D37" s="32"/>
      <c r="E37" s="84"/>
      <c r="F37" s="33"/>
      <c r="G37" s="28"/>
      <c r="H37" s="28"/>
      <c r="I37" s="34"/>
      <c r="J37" s="90">
        <f t="shared" si="4"/>
        <v>0</v>
      </c>
      <c r="K37" s="100"/>
      <c r="L37" s="65">
        <f t="shared" si="0"/>
        <v>0</v>
      </c>
      <c r="M37" s="65"/>
    </row>
    <row r="38" spans="2:13" s="30" customFormat="1" ht="18" customHeight="1" x14ac:dyDescent="0.25">
      <c r="B38" s="31"/>
      <c r="C38" s="31"/>
      <c r="D38" s="32"/>
      <c r="E38" s="84"/>
      <c r="F38" s="33"/>
      <c r="G38" s="28"/>
      <c r="H38" s="28"/>
      <c r="I38" s="34"/>
      <c r="J38" s="90">
        <f t="shared" si="4"/>
        <v>0</v>
      </c>
      <c r="K38" s="100"/>
      <c r="L38" s="65">
        <f t="shared" ref="L38:L69" si="5">+H38+K38-F38</f>
        <v>0</v>
      </c>
      <c r="M38" s="65"/>
    </row>
    <row r="39" spans="2:13" s="30" customFormat="1" ht="18" customHeight="1" x14ac:dyDescent="0.25">
      <c r="B39" s="31"/>
      <c r="C39" s="31"/>
      <c r="D39" s="32"/>
      <c r="E39" s="84"/>
      <c r="F39" s="33"/>
      <c r="G39" s="28"/>
      <c r="H39" s="28"/>
      <c r="I39" s="34"/>
      <c r="J39" s="90">
        <f t="shared" si="4"/>
        <v>0</v>
      </c>
      <c r="K39" s="100"/>
      <c r="L39" s="65">
        <f t="shared" si="5"/>
        <v>0</v>
      </c>
      <c r="M39" s="65"/>
    </row>
    <row r="40" spans="2:13" s="30" customFormat="1" ht="18" customHeight="1" x14ac:dyDescent="0.25">
      <c r="B40" s="31"/>
      <c r="C40" s="31"/>
      <c r="D40" s="32"/>
      <c r="E40" s="84"/>
      <c r="F40" s="33"/>
      <c r="G40" s="28"/>
      <c r="H40" s="28"/>
      <c r="I40" s="34"/>
      <c r="J40" s="90">
        <f t="shared" si="4"/>
        <v>0</v>
      </c>
      <c r="K40" s="100"/>
      <c r="L40" s="65">
        <f t="shared" si="5"/>
        <v>0</v>
      </c>
      <c r="M40" s="65"/>
    </row>
    <row r="41" spans="2:13" s="30" customFormat="1" ht="18" customHeight="1" x14ac:dyDescent="0.25">
      <c r="B41" s="31"/>
      <c r="C41" s="31"/>
      <c r="D41" s="32"/>
      <c r="E41" s="84"/>
      <c r="F41" s="33"/>
      <c r="G41" s="28"/>
      <c r="H41" s="28"/>
      <c r="I41" s="34"/>
      <c r="J41" s="90">
        <f t="shared" si="4"/>
        <v>0</v>
      </c>
      <c r="K41" s="100"/>
      <c r="L41" s="65">
        <f t="shared" si="5"/>
        <v>0</v>
      </c>
      <c r="M41" s="65"/>
    </row>
    <row r="42" spans="2:13" s="30" customFormat="1" ht="18" customHeight="1" x14ac:dyDescent="0.25">
      <c r="B42" s="31"/>
      <c r="C42" s="31"/>
      <c r="D42" s="32"/>
      <c r="E42" s="84"/>
      <c r="F42" s="33"/>
      <c r="G42" s="28"/>
      <c r="H42" s="28"/>
      <c r="I42" s="34"/>
      <c r="J42" s="90">
        <f t="shared" si="4"/>
        <v>0</v>
      </c>
      <c r="K42" s="100"/>
      <c r="L42" s="65">
        <f t="shared" si="5"/>
        <v>0</v>
      </c>
      <c r="M42" s="65"/>
    </row>
    <row r="43" spans="2:13" s="30" customFormat="1" ht="18" customHeight="1" x14ac:dyDescent="0.25">
      <c r="B43" s="31"/>
      <c r="C43" s="31"/>
      <c r="D43" s="32"/>
      <c r="E43" s="84"/>
      <c r="F43" s="33"/>
      <c r="G43" s="28"/>
      <c r="H43" s="28"/>
      <c r="I43" s="34"/>
      <c r="J43" s="90">
        <f t="shared" si="4"/>
        <v>0</v>
      </c>
      <c r="K43" s="100"/>
      <c r="L43" s="65">
        <f t="shared" si="5"/>
        <v>0</v>
      </c>
      <c r="M43" s="65"/>
    </row>
    <row r="44" spans="2:13" s="30" customFormat="1" ht="18" customHeight="1" x14ac:dyDescent="0.25">
      <c r="B44" s="31"/>
      <c r="C44" s="31"/>
      <c r="D44" s="32"/>
      <c r="E44" s="84"/>
      <c r="F44" s="33"/>
      <c r="G44" s="28"/>
      <c r="H44" s="28"/>
      <c r="I44" s="34"/>
      <c r="J44" s="90">
        <f t="shared" si="4"/>
        <v>0</v>
      </c>
      <c r="K44" s="100"/>
      <c r="L44" s="65">
        <f t="shared" si="5"/>
        <v>0</v>
      </c>
      <c r="M44" s="65"/>
    </row>
    <row r="45" spans="2:13" s="30" customFormat="1" ht="18" customHeight="1" x14ac:dyDescent="0.25">
      <c r="B45" s="31"/>
      <c r="C45" s="31"/>
      <c r="D45" s="32"/>
      <c r="E45" s="84"/>
      <c r="F45" s="33"/>
      <c r="G45" s="28"/>
      <c r="H45" s="28"/>
      <c r="I45" s="34"/>
      <c r="J45" s="90">
        <f t="shared" si="4"/>
        <v>0</v>
      </c>
      <c r="K45" s="100"/>
      <c r="L45" s="65">
        <f t="shared" si="5"/>
        <v>0</v>
      </c>
      <c r="M45" s="65"/>
    </row>
    <row r="46" spans="2:13" s="30" customFormat="1" ht="18" customHeight="1" x14ac:dyDescent="0.25">
      <c r="B46" s="31"/>
      <c r="C46" s="31"/>
      <c r="D46" s="32"/>
      <c r="E46" s="84"/>
      <c r="F46" s="33"/>
      <c r="G46" s="28"/>
      <c r="H46" s="28"/>
      <c r="I46" s="34"/>
      <c r="J46" s="90">
        <f t="shared" si="4"/>
        <v>0</v>
      </c>
      <c r="K46" s="100"/>
      <c r="L46" s="65">
        <f t="shared" si="5"/>
        <v>0</v>
      </c>
      <c r="M46" s="65"/>
    </row>
    <row r="47" spans="2:13" s="30" customFormat="1" ht="18" customHeight="1" x14ac:dyDescent="0.25">
      <c r="B47" s="31"/>
      <c r="C47" s="31"/>
      <c r="D47" s="32"/>
      <c r="E47" s="84"/>
      <c r="F47" s="33"/>
      <c r="G47" s="28"/>
      <c r="H47" s="28"/>
      <c r="I47" s="34"/>
      <c r="J47" s="90">
        <f t="shared" si="4"/>
        <v>0</v>
      </c>
      <c r="K47" s="100"/>
      <c r="L47" s="65">
        <f t="shared" si="5"/>
        <v>0</v>
      </c>
      <c r="M47" s="65"/>
    </row>
    <row r="48" spans="2:13" s="30" customFormat="1" ht="18" customHeight="1" x14ac:dyDescent="0.25">
      <c r="B48" s="31"/>
      <c r="C48" s="31"/>
      <c r="D48" s="32"/>
      <c r="E48" s="84"/>
      <c r="F48" s="33"/>
      <c r="G48" s="28"/>
      <c r="H48" s="28"/>
      <c r="I48" s="34"/>
      <c r="J48" s="90">
        <f t="shared" si="4"/>
        <v>0</v>
      </c>
      <c r="K48" s="100"/>
      <c r="L48" s="65">
        <f t="shared" si="5"/>
        <v>0</v>
      </c>
      <c r="M48" s="65"/>
    </row>
    <row r="49" spans="2:13" s="30" customFormat="1" ht="18" customHeight="1" x14ac:dyDescent="0.25">
      <c r="B49" s="31"/>
      <c r="C49" s="31"/>
      <c r="D49" s="32"/>
      <c r="E49" s="84"/>
      <c r="F49" s="33"/>
      <c r="G49" s="28"/>
      <c r="H49" s="28"/>
      <c r="I49" s="34"/>
      <c r="J49" s="90">
        <f t="shared" si="4"/>
        <v>0</v>
      </c>
      <c r="K49" s="100"/>
      <c r="L49" s="65">
        <f t="shared" si="5"/>
        <v>0</v>
      </c>
      <c r="M49" s="65"/>
    </row>
    <row r="50" spans="2:13" s="30" customFormat="1" ht="18" customHeight="1" x14ac:dyDescent="0.25">
      <c r="B50" s="31"/>
      <c r="C50" s="31"/>
      <c r="D50" s="32"/>
      <c r="E50" s="84"/>
      <c r="F50" s="33"/>
      <c r="G50" s="28"/>
      <c r="H50" s="28"/>
      <c r="I50" s="34"/>
      <c r="J50" s="90">
        <f t="shared" si="4"/>
        <v>0</v>
      </c>
      <c r="K50" s="100"/>
      <c r="L50" s="65">
        <f t="shared" si="5"/>
        <v>0</v>
      </c>
      <c r="M50" s="65"/>
    </row>
    <row r="51" spans="2:13" s="30" customFormat="1" ht="18" customHeight="1" x14ac:dyDescent="0.25">
      <c r="B51" s="31"/>
      <c r="C51" s="31"/>
      <c r="D51" s="32"/>
      <c r="E51" s="84"/>
      <c r="F51" s="33"/>
      <c r="G51" s="28"/>
      <c r="H51" s="28"/>
      <c r="I51" s="34"/>
      <c r="J51" s="90">
        <f t="shared" si="4"/>
        <v>0</v>
      </c>
      <c r="K51" s="100"/>
      <c r="L51" s="65">
        <f t="shared" si="5"/>
        <v>0</v>
      </c>
      <c r="M51" s="65"/>
    </row>
    <row r="52" spans="2:13" s="30" customFormat="1" ht="18" customHeight="1" x14ac:dyDescent="0.25">
      <c r="B52" s="31"/>
      <c r="C52" s="31"/>
      <c r="D52" s="32"/>
      <c r="E52" s="84"/>
      <c r="F52" s="33"/>
      <c r="G52" s="28"/>
      <c r="H52" s="28"/>
      <c r="I52" s="34"/>
      <c r="J52" s="90">
        <f t="shared" si="4"/>
        <v>0</v>
      </c>
      <c r="K52" s="100"/>
      <c r="L52" s="65">
        <f t="shared" si="5"/>
        <v>0</v>
      </c>
      <c r="M52" s="65"/>
    </row>
    <row r="53" spans="2:13" s="30" customFormat="1" ht="18" customHeight="1" x14ac:dyDescent="0.25">
      <c r="B53" s="31"/>
      <c r="C53" s="31"/>
      <c r="D53" s="32"/>
      <c r="E53" s="84"/>
      <c r="F53" s="33"/>
      <c r="G53" s="28"/>
      <c r="H53" s="28"/>
      <c r="I53" s="34"/>
      <c r="J53" s="90">
        <f t="shared" si="4"/>
        <v>0</v>
      </c>
      <c r="K53" s="100"/>
      <c r="L53" s="65">
        <f t="shared" si="5"/>
        <v>0</v>
      </c>
      <c r="M53" s="65"/>
    </row>
    <row r="54" spans="2:13" s="30" customFormat="1" ht="18" customHeight="1" x14ac:dyDescent="0.25">
      <c r="B54" s="31"/>
      <c r="C54" s="31"/>
      <c r="D54" s="32"/>
      <c r="E54" s="84"/>
      <c r="F54" s="33"/>
      <c r="G54" s="28"/>
      <c r="H54" s="28"/>
      <c r="I54" s="34"/>
      <c r="J54" s="90">
        <f t="shared" si="4"/>
        <v>0</v>
      </c>
      <c r="K54" s="100"/>
      <c r="L54" s="65">
        <f t="shared" si="5"/>
        <v>0</v>
      </c>
      <c r="M54" s="65"/>
    </row>
    <row r="55" spans="2:13" s="30" customFormat="1" ht="18" customHeight="1" x14ac:dyDescent="0.25">
      <c r="B55" s="31"/>
      <c r="C55" s="31"/>
      <c r="D55" s="32"/>
      <c r="E55" s="84"/>
      <c r="F55" s="33"/>
      <c r="G55" s="28"/>
      <c r="H55" s="28"/>
      <c r="I55" s="34"/>
      <c r="J55" s="90">
        <f t="shared" si="4"/>
        <v>0</v>
      </c>
      <c r="K55" s="100"/>
      <c r="L55" s="65">
        <f t="shared" si="5"/>
        <v>0</v>
      </c>
      <c r="M55" s="65"/>
    </row>
    <row r="56" spans="2:13" s="30" customFormat="1" ht="18" customHeight="1" x14ac:dyDescent="0.25">
      <c r="B56" s="31"/>
      <c r="C56" s="31"/>
      <c r="D56" s="32"/>
      <c r="E56" s="84"/>
      <c r="F56" s="33"/>
      <c r="G56" s="28"/>
      <c r="H56" s="28"/>
      <c r="I56" s="34"/>
      <c r="J56" s="90">
        <f t="shared" si="4"/>
        <v>0</v>
      </c>
      <c r="K56" s="100"/>
      <c r="L56" s="65">
        <f t="shared" si="5"/>
        <v>0</v>
      </c>
      <c r="M56" s="65"/>
    </row>
    <row r="57" spans="2:13" s="30" customFormat="1" ht="18" customHeight="1" x14ac:dyDescent="0.25">
      <c r="B57" s="31"/>
      <c r="C57" s="31"/>
      <c r="D57" s="32"/>
      <c r="E57" s="84"/>
      <c r="F57" s="33"/>
      <c r="G57" s="28"/>
      <c r="H57" s="28"/>
      <c r="I57" s="34"/>
      <c r="J57" s="90">
        <f t="shared" si="4"/>
        <v>0</v>
      </c>
      <c r="K57" s="100"/>
      <c r="L57" s="65">
        <f t="shared" si="5"/>
        <v>0</v>
      </c>
      <c r="M57" s="65"/>
    </row>
    <row r="58" spans="2:13" s="30" customFormat="1" ht="18" customHeight="1" x14ac:dyDescent="0.25">
      <c r="B58" s="31"/>
      <c r="C58" s="31"/>
      <c r="D58" s="32"/>
      <c r="E58" s="84"/>
      <c r="F58" s="33"/>
      <c r="G58" s="28"/>
      <c r="H58" s="28"/>
      <c r="I58" s="34"/>
      <c r="J58" s="90">
        <f t="shared" si="4"/>
        <v>0</v>
      </c>
      <c r="K58" s="100"/>
      <c r="L58" s="65">
        <f t="shared" si="5"/>
        <v>0</v>
      </c>
      <c r="M58" s="65"/>
    </row>
    <row r="59" spans="2:13" s="30" customFormat="1" ht="18" customHeight="1" x14ac:dyDescent="0.25">
      <c r="B59" s="31"/>
      <c r="C59" s="31"/>
      <c r="D59" s="32"/>
      <c r="E59" s="84"/>
      <c r="F59" s="33"/>
      <c r="G59" s="28"/>
      <c r="H59" s="28"/>
      <c r="I59" s="34"/>
      <c r="J59" s="90">
        <f t="shared" si="4"/>
        <v>0</v>
      </c>
      <c r="K59" s="100"/>
      <c r="L59" s="65">
        <f t="shared" si="5"/>
        <v>0</v>
      </c>
      <c r="M59" s="65"/>
    </row>
    <row r="60" spans="2:13" s="30" customFormat="1" ht="18" customHeight="1" x14ac:dyDescent="0.25">
      <c r="B60" s="31"/>
      <c r="C60" s="31"/>
      <c r="D60" s="32"/>
      <c r="E60" s="84"/>
      <c r="F60" s="33"/>
      <c r="G60" s="28"/>
      <c r="H60" s="28"/>
      <c r="I60" s="34"/>
      <c r="J60" s="90">
        <f t="shared" si="4"/>
        <v>0</v>
      </c>
      <c r="K60" s="100"/>
      <c r="L60" s="65">
        <f t="shared" si="5"/>
        <v>0</v>
      </c>
      <c r="M60" s="65"/>
    </row>
    <row r="61" spans="2:13" s="30" customFormat="1" ht="18" customHeight="1" x14ac:dyDescent="0.25">
      <c r="B61" s="31"/>
      <c r="C61" s="31"/>
      <c r="D61" s="32"/>
      <c r="E61" s="84"/>
      <c r="F61" s="33"/>
      <c r="G61" s="28"/>
      <c r="H61" s="28"/>
      <c r="I61" s="34"/>
      <c r="J61" s="90">
        <f t="shared" si="4"/>
        <v>0</v>
      </c>
      <c r="K61" s="100"/>
      <c r="L61" s="65">
        <f t="shared" si="5"/>
        <v>0</v>
      </c>
      <c r="M61" s="65"/>
    </row>
    <row r="62" spans="2:13" s="30" customFormat="1" ht="18" customHeight="1" x14ac:dyDescent="0.25">
      <c r="B62" s="31"/>
      <c r="C62" s="31"/>
      <c r="D62" s="32"/>
      <c r="E62" s="84"/>
      <c r="F62" s="33"/>
      <c r="G62" s="28"/>
      <c r="H62" s="28"/>
      <c r="I62" s="34"/>
      <c r="J62" s="90">
        <f t="shared" si="4"/>
        <v>0</v>
      </c>
      <c r="K62" s="100"/>
      <c r="L62" s="65">
        <f t="shared" si="5"/>
        <v>0</v>
      </c>
      <c r="M62" s="65"/>
    </row>
    <row r="63" spans="2:13" s="30" customFormat="1" ht="18" customHeight="1" x14ac:dyDescent="0.25">
      <c r="B63" s="31"/>
      <c r="C63" s="31"/>
      <c r="D63" s="32"/>
      <c r="E63" s="84"/>
      <c r="F63" s="33"/>
      <c r="G63" s="28"/>
      <c r="H63" s="28"/>
      <c r="I63" s="34"/>
      <c r="J63" s="90">
        <f t="shared" si="4"/>
        <v>0</v>
      </c>
      <c r="K63" s="100"/>
      <c r="L63" s="65">
        <f t="shared" si="5"/>
        <v>0</v>
      </c>
      <c r="M63" s="65"/>
    </row>
    <row r="64" spans="2:13" s="30" customFormat="1" ht="18" customHeight="1" x14ac:dyDescent="0.25">
      <c r="B64" s="31"/>
      <c r="C64" s="31"/>
      <c r="D64" s="32"/>
      <c r="E64" s="84"/>
      <c r="F64" s="33"/>
      <c r="G64" s="28"/>
      <c r="H64" s="28"/>
      <c r="I64" s="34"/>
      <c r="J64" s="90">
        <f t="shared" si="4"/>
        <v>0</v>
      </c>
      <c r="K64" s="100"/>
      <c r="L64" s="65">
        <f t="shared" si="5"/>
        <v>0</v>
      </c>
      <c r="M64" s="65"/>
    </row>
    <row r="65" spans="2:13" s="30" customFormat="1" ht="18" customHeight="1" x14ac:dyDescent="0.25">
      <c r="B65" s="31"/>
      <c r="C65" s="31"/>
      <c r="D65" s="32"/>
      <c r="E65" s="84"/>
      <c r="F65" s="33"/>
      <c r="G65" s="28"/>
      <c r="H65" s="28"/>
      <c r="I65" s="34"/>
      <c r="J65" s="90">
        <f t="shared" si="4"/>
        <v>0</v>
      </c>
      <c r="K65" s="100"/>
      <c r="L65" s="65">
        <f t="shared" si="5"/>
        <v>0</v>
      </c>
      <c r="M65" s="65"/>
    </row>
    <row r="66" spans="2:13" s="30" customFormat="1" ht="18" customHeight="1" x14ac:dyDescent="0.25">
      <c r="B66" s="31"/>
      <c r="C66" s="31"/>
      <c r="D66" s="32"/>
      <c r="E66" s="84"/>
      <c r="F66" s="33"/>
      <c r="G66" s="28"/>
      <c r="H66" s="28"/>
      <c r="I66" s="34"/>
      <c r="J66" s="90">
        <f t="shared" si="4"/>
        <v>0</v>
      </c>
      <c r="K66" s="100"/>
      <c r="L66" s="65">
        <f t="shared" si="5"/>
        <v>0</v>
      </c>
      <c r="M66" s="65"/>
    </row>
    <row r="67" spans="2:13" s="30" customFormat="1" ht="18" customHeight="1" x14ac:dyDescent="0.25">
      <c r="B67" s="31"/>
      <c r="C67" s="31"/>
      <c r="D67" s="32"/>
      <c r="E67" s="84"/>
      <c r="F67" s="33"/>
      <c r="G67" s="28"/>
      <c r="H67" s="28"/>
      <c r="I67" s="34"/>
      <c r="J67" s="90">
        <f t="shared" si="4"/>
        <v>0</v>
      </c>
      <c r="K67" s="100"/>
      <c r="L67" s="65">
        <f t="shared" si="5"/>
        <v>0</v>
      </c>
      <c r="M67" s="65"/>
    </row>
    <row r="68" spans="2:13" s="30" customFormat="1" ht="18" customHeight="1" x14ac:dyDescent="0.25">
      <c r="B68" s="31"/>
      <c r="C68" s="31"/>
      <c r="D68" s="32"/>
      <c r="E68" s="84"/>
      <c r="F68" s="33"/>
      <c r="G68" s="28"/>
      <c r="H68" s="28"/>
      <c r="I68" s="34"/>
      <c r="J68" s="90">
        <f t="shared" si="4"/>
        <v>0</v>
      </c>
      <c r="K68" s="100"/>
      <c r="L68" s="65">
        <f t="shared" si="5"/>
        <v>0</v>
      </c>
      <c r="M68" s="65"/>
    </row>
    <row r="69" spans="2:13" s="30" customFormat="1" ht="18" customHeight="1" x14ac:dyDescent="0.25">
      <c r="B69" s="31"/>
      <c r="C69" s="31"/>
      <c r="D69" s="32"/>
      <c r="E69" s="84"/>
      <c r="F69" s="33"/>
      <c r="G69" s="28"/>
      <c r="H69" s="28"/>
      <c r="I69" s="34"/>
      <c r="J69" s="90">
        <f t="shared" si="4"/>
        <v>0</v>
      </c>
      <c r="K69" s="100"/>
      <c r="L69" s="65">
        <f t="shared" si="5"/>
        <v>0</v>
      </c>
      <c r="M69" s="65"/>
    </row>
    <row r="70" spans="2:13" s="30" customFormat="1" ht="18" customHeight="1" x14ac:dyDescent="0.25">
      <c r="B70" s="31"/>
      <c r="C70" s="31"/>
      <c r="D70" s="32"/>
      <c r="E70" s="84"/>
      <c r="F70" s="33"/>
      <c r="G70" s="28"/>
      <c r="H70" s="28"/>
      <c r="I70" s="34"/>
      <c r="J70" s="90">
        <f t="shared" si="4"/>
        <v>0</v>
      </c>
      <c r="K70" s="100"/>
      <c r="L70" s="65">
        <f t="shared" ref="L70:L101" si="6">+H70+K70-F70</f>
        <v>0</v>
      </c>
      <c r="M70" s="65"/>
    </row>
    <row r="71" spans="2:13" s="30" customFormat="1" ht="18" customHeight="1" x14ac:dyDescent="0.25">
      <c r="B71" s="31"/>
      <c r="C71" s="31"/>
      <c r="D71" s="32"/>
      <c r="E71" s="84"/>
      <c r="F71" s="33"/>
      <c r="G71" s="28"/>
      <c r="H71" s="28"/>
      <c r="I71" s="34"/>
      <c r="J71" s="90">
        <f t="shared" si="4"/>
        <v>0</v>
      </c>
      <c r="K71" s="100"/>
      <c r="L71" s="65">
        <f t="shared" si="6"/>
        <v>0</v>
      </c>
      <c r="M71" s="65"/>
    </row>
    <row r="72" spans="2:13" s="30" customFormat="1" ht="18" customHeight="1" x14ac:dyDescent="0.25">
      <c r="B72" s="31"/>
      <c r="C72" s="31"/>
      <c r="D72" s="32"/>
      <c r="E72" s="84"/>
      <c r="F72" s="33"/>
      <c r="G72" s="28"/>
      <c r="H72" s="28"/>
      <c r="I72" s="34"/>
      <c r="J72" s="90">
        <f t="shared" si="4"/>
        <v>0</v>
      </c>
      <c r="K72" s="100"/>
      <c r="L72" s="65">
        <f t="shared" si="6"/>
        <v>0</v>
      </c>
      <c r="M72" s="65"/>
    </row>
    <row r="73" spans="2:13" s="30" customFormat="1" ht="18" customHeight="1" x14ac:dyDescent="0.25">
      <c r="B73" s="31"/>
      <c r="C73" s="31"/>
      <c r="D73" s="32"/>
      <c r="E73" s="84"/>
      <c r="F73" s="33"/>
      <c r="G73" s="28"/>
      <c r="H73" s="28"/>
      <c r="I73" s="34"/>
      <c r="J73" s="90">
        <f t="shared" si="4"/>
        <v>0</v>
      </c>
      <c r="K73" s="100"/>
      <c r="L73" s="65">
        <f t="shared" si="6"/>
        <v>0</v>
      </c>
      <c r="M73" s="65"/>
    </row>
    <row r="74" spans="2:13" s="30" customFormat="1" ht="18" customHeight="1" x14ac:dyDescent="0.25">
      <c r="B74" s="31"/>
      <c r="C74" s="31"/>
      <c r="D74" s="32"/>
      <c r="E74" s="84"/>
      <c r="F74" s="33"/>
      <c r="G74" s="28"/>
      <c r="H74" s="28"/>
      <c r="I74" s="34"/>
      <c r="J74" s="90">
        <f t="shared" si="4"/>
        <v>0</v>
      </c>
      <c r="K74" s="100"/>
      <c r="L74" s="65">
        <f t="shared" si="6"/>
        <v>0</v>
      </c>
      <c r="M74" s="65"/>
    </row>
    <row r="75" spans="2:13" s="30" customFormat="1" ht="18" customHeight="1" x14ac:dyDescent="0.25">
      <c r="B75" s="31"/>
      <c r="C75" s="31"/>
      <c r="D75" s="32"/>
      <c r="E75" s="84"/>
      <c r="F75" s="33"/>
      <c r="G75" s="28"/>
      <c r="H75" s="28"/>
      <c r="I75" s="34"/>
      <c r="J75" s="90">
        <f t="shared" si="4"/>
        <v>0</v>
      </c>
      <c r="K75" s="100"/>
      <c r="L75" s="65">
        <f t="shared" si="6"/>
        <v>0</v>
      </c>
      <c r="M75" s="65"/>
    </row>
    <row r="76" spans="2:13" s="30" customFormat="1" ht="18" customHeight="1" x14ac:dyDescent="0.25">
      <c r="B76" s="31"/>
      <c r="C76" s="31"/>
      <c r="D76" s="32"/>
      <c r="E76" s="84"/>
      <c r="F76" s="33"/>
      <c r="G76" s="28"/>
      <c r="H76" s="28"/>
      <c r="I76" s="34"/>
      <c r="J76" s="90">
        <f t="shared" si="4"/>
        <v>0</v>
      </c>
      <c r="K76" s="100"/>
      <c r="L76" s="65">
        <f t="shared" si="6"/>
        <v>0</v>
      </c>
      <c r="M76" s="65"/>
    </row>
    <row r="77" spans="2:13" s="30" customFormat="1" ht="18" customHeight="1" x14ac:dyDescent="0.25">
      <c r="B77" s="31"/>
      <c r="C77" s="31"/>
      <c r="D77" s="32"/>
      <c r="E77" s="84"/>
      <c r="F77" s="33"/>
      <c r="G77" s="28"/>
      <c r="H77" s="28"/>
      <c r="I77" s="34"/>
      <c r="J77" s="90">
        <f t="shared" si="4"/>
        <v>0</v>
      </c>
      <c r="K77" s="100"/>
      <c r="L77" s="65">
        <f t="shared" si="6"/>
        <v>0</v>
      </c>
      <c r="M77" s="65"/>
    </row>
    <row r="78" spans="2:13" s="30" customFormat="1" ht="18" customHeight="1" x14ac:dyDescent="0.25">
      <c r="B78" s="31"/>
      <c r="C78" s="31"/>
      <c r="D78" s="32"/>
      <c r="E78" s="84"/>
      <c r="F78" s="33"/>
      <c r="G78" s="28"/>
      <c r="H78" s="28"/>
      <c r="I78" s="34"/>
      <c r="J78" s="90">
        <f t="shared" si="4"/>
        <v>0</v>
      </c>
      <c r="K78" s="100"/>
      <c r="L78" s="65">
        <f t="shared" si="6"/>
        <v>0</v>
      </c>
      <c r="M78" s="65"/>
    </row>
    <row r="79" spans="2:13" s="30" customFormat="1" ht="18" customHeight="1" x14ac:dyDescent="0.25">
      <c r="B79" s="31"/>
      <c r="C79" s="31"/>
      <c r="D79" s="32"/>
      <c r="E79" s="84"/>
      <c r="F79" s="33"/>
      <c r="G79" s="28"/>
      <c r="H79" s="28"/>
      <c r="I79" s="34"/>
      <c r="J79" s="90">
        <f t="shared" si="4"/>
        <v>0</v>
      </c>
      <c r="K79" s="100"/>
      <c r="L79" s="65">
        <f t="shared" si="6"/>
        <v>0</v>
      </c>
      <c r="M79" s="65"/>
    </row>
    <row r="80" spans="2:13" s="30" customFormat="1" ht="18" customHeight="1" x14ac:dyDescent="0.25">
      <c r="B80" s="31"/>
      <c r="C80" s="31"/>
      <c r="D80" s="32"/>
      <c r="E80" s="84"/>
      <c r="F80" s="33"/>
      <c r="G80" s="28"/>
      <c r="H80" s="28"/>
      <c r="I80" s="34"/>
      <c r="J80" s="90">
        <f t="shared" si="4"/>
        <v>0</v>
      </c>
      <c r="K80" s="100"/>
      <c r="L80" s="65">
        <f t="shared" si="6"/>
        <v>0</v>
      </c>
      <c r="M80" s="65"/>
    </row>
    <row r="81" spans="2:13" s="30" customFormat="1" ht="18" customHeight="1" x14ac:dyDescent="0.25">
      <c r="B81" s="31"/>
      <c r="C81" s="31"/>
      <c r="D81" s="32"/>
      <c r="E81" s="84"/>
      <c r="F81" s="33"/>
      <c r="G81" s="28"/>
      <c r="H81" s="28"/>
      <c r="I81" s="34"/>
      <c r="J81" s="90">
        <f t="shared" si="4"/>
        <v>0</v>
      </c>
      <c r="K81" s="100"/>
      <c r="L81" s="65">
        <f t="shared" si="6"/>
        <v>0</v>
      </c>
      <c r="M81" s="65"/>
    </row>
    <row r="82" spans="2:13" s="30" customFormat="1" ht="18" customHeight="1" x14ac:dyDescent="0.25">
      <c r="B82" s="31"/>
      <c r="C82" s="31"/>
      <c r="D82" s="32"/>
      <c r="E82" s="84"/>
      <c r="F82" s="33"/>
      <c r="G82" s="28"/>
      <c r="H82" s="28"/>
      <c r="I82" s="34"/>
      <c r="J82" s="90">
        <f t="shared" si="4"/>
        <v>0</v>
      </c>
      <c r="K82" s="100"/>
      <c r="L82" s="65">
        <f t="shared" si="6"/>
        <v>0</v>
      </c>
      <c r="M82" s="65"/>
    </row>
    <row r="83" spans="2:13" s="30" customFormat="1" ht="18" customHeight="1" x14ac:dyDescent="0.25">
      <c r="B83" s="31"/>
      <c r="C83" s="31"/>
      <c r="D83" s="32"/>
      <c r="E83" s="84"/>
      <c r="F83" s="33"/>
      <c r="G83" s="28"/>
      <c r="H83" s="28"/>
      <c r="I83" s="34"/>
      <c r="J83" s="90">
        <f t="shared" si="4"/>
        <v>0</v>
      </c>
      <c r="K83" s="100"/>
      <c r="L83" s="65">
        <f t="shared" si="6"/>
        <v>0</v>
      </c>
      <c r="M83" s="65"/>
    </row>
    <row r="84" spans="2:13" s="30" customFormat="1" ht="18" customHeight="1" x14ac:dyDescent="0.25">
      <c r="B84" s="31"/>
      <c r="C84" s="31"/>
      <c r="D84" s="32"/>
      <c r="E84" s="84"/>
      <c r="F84" s="33"/>
      <c r="G84" s="28"/>
      <c r="H84" s="28"/>
      <c r="I84" s="34"/>
      <c r="J84" s="90">
        <f t="shared" si="4"/>
        <v>0</v>
      </c>
      <c r="K84" s="100"/>
      <c r="L84" s="65">
        <f t="shared" si="6"/>
        <v>0</v>
      </c>
      <c r="M84" s="65"/>
    </row>
    <row r="85" spans="2:13" s="30" customFormat="1" ht="18" customHeight="1" x14ac:dyDescent="0.25">
      <c r="B85" s="31"/>
      <c r="C85" s="31"/>
      <c r="D85" s="32"/>
      <c r="E85" s="84"/>
      <c r="F85" s="33"/>
      <c r="G85" s="28"/>
      <c r="H85" s="28"/>
      <c r="I85" s="34"/>
      <c r="J85" s="90">
        <f t="shared" si="4"/>
        <v>0</v>
      </c>
      <c r="K85" s="100"/>
      <c r="L85" s="65">
        <f t="shared" si="6"/>
        <v>0</v>
      </c>
      <c r="M85" s="65"/>
    </row>
    <row r="86" spans="2:13" s="30" customFormat="1" ht="18" customHeight="1" x14ac:dyDescent="0.25">
      <c r="B86" s="31"/>
      <c r="C86" s="31"/>
      <c r="D86" s="32"/>
      <c r="E86" s="84"/>
      <c r="F86" s="33"/>
      <c r="G86" s="28"/>
      <c r="H86" s="28"/>
      <c r="I86" s="34"/>
      <c r="J86" s="90">
        <f t="shared" si="4"/>
        <v>0</v>
      </c>
      <c r="K86" s="100"/>
      <c r="L86" s="65">
        <f t="shared" si="6"/>
        <v>0</v>
      </c>
      <c r="M86" s="65"/>
    </row>
    <row r="87" spans="2:13" s="30" customFormat="1" ht="18" customHeight="1" x14ac:dyDescent="0.25">
      <c r="B87" s="31"/>
      <c r="C87" s="31"/>
      <c r="D87" s="32"/>
      <c r="E87" s="84"/>
      <c r="F87" s="33"/>
      <c r="G87" s="28"/>
      <c r="H87" s="28"/>
      <c r="I87" s="34"/>
      <c r="J87" s="90">
        <f t="shared" si="4"/>
        <v>0</v>
      </c>
      <c r="K87" s="100"/>
      <c r="L87" s="65">
        <f t="shared" si="6"/>
        <v>0</v>
      </c>
      <c r="M87" s="65"/>
    </row>
    <row r="88" spans="2:13" s="30" customFormat="1" ht="18" customHeight="1" x14ac:dyDescent="0.25">
      <c r="B88" s="31"/>
      <c r="C88" s="31"/>
      <c r="D88" s="32"/>
      <c r="E88" s="84"/>
      <c r="F88" s="33"/>
      <c r="G88" s="28"/>
      <c r="H88" s="28"/>
      <c r="I88" s="34"/>
      <c r="J88" s="90">
        <f t="shared" si="4"/>
        <v>0</v>
      </c>
      <c r="K88" s="100"/>
      <c r="L88" s="65">
        <f t="shared" si="6"/>
        <v>0</v>
      </c>
      <c r="M88" s="65"/>
    </row>
    <row r="89" spans="2:13" s="30" customFormat="1" ht="18" customHeight="1" x14ac:dyDescent="0.25">
      <c r="B89" s="31"/>
      <c r="C89" s="31"/>
      <c r="D89" s="32"/>
      <c r="E89" s="84"/>
      <c r="F89" s="33"/>
      <c r="G89" s="28"/>
      <c r="H89" s="28"/>
      <c r="I89" s="34"/>
      <c r="J89" s="90">
        <f t="shared" ref="J89:J152" si="7">I89*F89</f>
        <v>0</v>
      </c>
      <c r="K89" s="100"/>
      <c r="L89" s="65">
        <f t="shared" si="6"/>
        <v>0</v>
      </c>
      <c r="M89" s="65"/>
    </row>
    <row r="90" spans="2:13" s="30" customFormat="1" ht="18" customHeight="1" x14ac:dyDescent="0.25">
      <c r="B90" s="31"/>
      <c r="C90" s="31"/>
      <c r="D90" s="32"/>
      <c r="E90" s="84"/>
      <c r="F90" s="33"/>
      <c r="G90" s="28"/>
      <c r="H90" s="28"/>
      <c r="I90" s="34"/>
      <c r="J90" s="90">
        <f t="shared" si="7"/>
        <v>0</v>
      </c>
      <c r="K90" s="100"/>
      <c r="L90" s="65">
        <f t="shared" si="6"/>
        <v>0</v>
      </c>
      <c r="M90" s="65"/>
    </row>
    <row r="91" spans="2:13" s="30" customFormat="1" ht="18" customHeight="1" x14ac:dyDescent="0.25">
      <c r="B91" s="31"/>
      <c r="C91" s="31"/>
      <c r="D91" s="32"/>
      <c r="E91" s="84"/>
      <c r="F91" s="33"/>
      <c r="G91" s="28"/>
      <c r="H91" s="28"/>
      <c r="I91" s="34"/>
      <c r="J91" s="90">
        <f t="shared" si="7"/>
        <v>0</v>
      </c>
      <c r="K91" s="100"/>
      <c r="L91" s="65">
        <f t="shared" si="6"/>
        <v>0</v>
      </c>
      <c r="M91" s="65"/>
    </row>
    <row r="92" spans="2:13" s="30" customFormat="1" ht="18" customHeight="1" x14ac:dyDescent="0.25">
      <c r="B92" s="31"/>
      <c r="C92" s="31"/>
      <c r="D92" s="32"/>
      <c r="E92" s="84"/>
      <c r="F92" s="33"/>
      <c r="G92" s="28"/>
      <c r="H92" s="28"/>
      <c r="I92" s="34"/>
      <c r="J92" s="90">
        <f t="shared" si="7"/>
        <v>0</v>
      </c>
      <c r="K92" s="100"/>
      <c r="L92" s="65">
        <f t="shared" si="6"/>
        <v>0</v>
      </c>
      <c r="M92" s="65"/>
    </row>
    <row r="93" spans="2:13" s="30" customFormat="1" ht="18" customHeight="1" x14ac:dyDescent="0.25">
      <c r="B93" s="31"/>
      <c r="C93" s="31"/>
      <c r="D93" s="32"/>
      <c r="E93" s="84"/>
      <c r="F93" s="33"/>
      <c r="G93" s="28"/>
      <c r="H93" s="28"/>
      <c r="I93" s="34"/>
      <c r="J93" s="90">
        <f t="shared" si="7"/>
        <v>0</v>
      </c>
      <c r="K93" s="100"/>
      <c r="L93" s="65">
        <f t="shared" si="6"/>
        <v>0</v>
      </c>
      <c r="M93" s="65"/>
    </row>
    <row r="94" spans="2:13" s="30" customFormat="1" ht="18" customHeight="1" x14ac:dyDescent="0.25">
      <c r="B94" s="31"/>
      <c r="C94" s="31"/>
      <c r="D94" s="32"/>
      <c r="E94" s="84"/>
      <c r="F94" s="33"/>
      <c r="G94" s="28"/>
      <c r="H94" s="28"/>
      <c r="I94" s="34"/>
      <c r="J94" s="90">
        <f t="shared" si="7"/>
        <v>0</v>
      </c>
      <c r="K94" s="100"/>
      <c r="L94" s="65">
        <f t="shared" si="6"/>
        <v>0</v>
      </c>
      <c r="M94" s="65"/>
    </row>
    <row r="95" spans="2:13" s="30" customFormat="1" ht="18" customHeight="1" x14ac:dyDescent="0.25">
      <c r="B95" s="31"/>
      <c r="C95" s="31"/>
      <c r="D95" s="32"/>
      <c r="E95" s="84"/>
      <c r="F95" s="33"/>
      <c r="G95" s="28"/>
      <c r="H95" s="28"/>
      <c r="I95" s="34"/>
      <c r="J95" s="90">
        <f t="shared" si="7"/>
        <v>0</v>
      </c>
      <c r="K95" s="100"/>
      <c r="L95" s="65">
        <f t="shared" si="6"/>
        <v>0</v>
      </c>
      <c r="M95" s="65"/>
    </row>
    <row r="96" spans="2:13" s="30" customFormat="1" ht="18" customHeight="1" x14ac:dyDescent="0.25">
      <c r="B96" s="31"/>
      <c r="C96" s="31"/>
      <c r="D96" s="32"/>
      <c r="E96" s="84"/>
      <c r="F96" s="33"/>
      <c r="G96" s="28"/>
      <c r="H96" s="28"/>
      <c r="I96" s="34"/>
      <c r="J96" s="90">
        <f t="shared" si="7"/>
        <v>0</v>
      </c>
      <c r="K96" s="100"/>
      <c r="L96" s="65">
        <f t="shared" si="6"/>
        <v>0</v>
      </c>
      <c r="M96" s="65"/>
    </row>
    <row r="97" spans="2:13" s="30" customFormat="1" ht="18" customHeight="1" x14ac:dyDescent="0.25">
      <c r="B97" s="31"/>
      <c r="C97" s="31"/>
      <c r="D97" s="32"/>
      <c r="E97" s="84"/>
      <c r="F97" s="33"/>
      <c r="G97" s="28"/>
      <c r="H97" s="28"/>
      <c r="I97" s="34"/>
      <c r="J97" s="90">
        <f t="shared" si="7"/>
        <v>0</v>
      </c>
      <c r="K97" s="100"/>
      <c r="L97" s="65">
        <f t="shared" si="6"/>
        <v>0</v>
      </c>
      <c r="M97" s="65"/>
    </row>
    <row r="98" spans="2:13" s="30" customFormat="1" ht="18" customHeight="1" x14ac:dyDescent="0.25">
      <c r="B98" s="31"/>
      <c r="C98" s="31"/>
      <c r="D98" s="32"/>
      <c r="E98" s="84"/>
      <c r="F98" s="33"/>
      <c r="G98" s="28"/>
      <c r="H98" s="28"/>
      <c r="I98" s="34"/>
      <c r="J98" s="90">
        <f t="shared" si="7"/>
        <v>0</v>
      </c>
      <c r="K98" s="100"/>
      <c r="L98" s="65">
        <f t="shared" si="6"/>
        <v>0</v>
      </c>
      <c r="M98" s="65"/>
    </row>
    <row r="99" spans="2:13" s="30" customFormat="1" ht="18" customHeight="1" x14ac:dyDescent="0.25">
      <c r="B99" s="31"/>
      <c r="C99" s="31"/>
      <c r="D99" s="32"/>
      <c r="E99" s="84"/>
      <c r="F99" s="33"/>
      <c r="G99" s="28"/>
      <c r="H99" s="28"/>
      <c r="I99" s="34"/>
      <c r="J99" s="90">
        <f t="shared" si="7"/>
        <v>0</v>
      </c>
      <c r="K99" s="100"/>
      <c r="L99" s="65">
        <f t="shared" si="6"/>
        <v>0</v>
      </c>
      <c r="M99" s="65"/>
    </row>
    <row r="100" spans="2:13" s="30" customFormat="1" ht="18" customHeight="1" x14ac:dyDescent="0.25">
      <c r="B100" s="31"/>
      <c r="C100" s="31"/>
      <c r="D100" s="32"/>
      <c r="E100" s="84"/>
      <c r="F100" s="33"/>
      <c r="G100" s="28"/>
      <c r="H100" s="28"/>
      <c r="I100" s="34"/>
      <c r="J100" s="90">
        <f t="shared" si="7"/>
        <v>0</v>
      </c>
      <c r="K100" s="100"/>
      <c r="L100" s="65">
        <f t="shared" si="6"/>
        <v>0</v>
      </c>
      <c r="M100" s="65"/>
    </row>
    <row r="101" spans="2:13" s="30" customFormat="1" ht="18" customHeight="1" x14ac:dyDescent="0.25">
      <c r="B101" s="31"/>
      <c r="C101" s="31"/>
      <c r="D101" s="32"/>
      <c r="E101" s="84"/>
      <c r="F101" s="33"/>
      <c r="G101" s="28"/>
      <c r="H101" s="28"/>
      <c r="I101" s="34"/>
      <c r="J101" s="90">
        <f t="shared" si="7"/>
        <v>0</v>
      </c>
      <c r="K101" s="100"/>
      <c r="L101" s="65">
        <f t="shared" si="6"/>
        <v>0</v>
      </c>
      <c r="M101" s="65"/>
    </row>
    <row r="102" spans="2:13" s="30" customFormat="1" ht="18" customHeight="1" x14ac:dyDescent="0.25">
      <c r="B102" s="31"/>
      <c r="C102" s="31"/>
      <c r="D102" s="32"/>
      <c r="E102" s="84"/>
      <c r="F102" s="33"/>
      <c r="G102" s="28"/>
      <c r="H102" s="28"/>
      <c r="I102" s="34"/>
      <c r="J102" s="90">
        <f t="shared" si="7"/>
        <v>0</v>
      </c>
      <c r="K102" s="100"/>
      <c r="L102" s="65">
        <f t="shared" ref="L102:L133" si="8">+H102+K102-F102</f>
        <v>0</v>
      </c>
      <c r="M102" s="65"/>
    </row>
    <row r="103" spans="2:13" s="30" customFormat="1" ht="18" customHeight="1" x14ac:dyDescent="0.25">
      <c r="B103" s="31"/>
      <c r="C103" s="31"/>
      <c r="D103" s="32"/>
      <c r="E103" s="84"/>
      <c r="F103" s="33"/>
      <c r="G103" s="28"/>
      <c r="H103" s="28"/>
      <c r="I103" s="34"/>
      <c r="J103" s="90">
        <f t="shared" si="7"/>
        <v>0</v>
      </c>
      <c r="K103" s="100"/>
      <c r="L103" s="65">
        <f t="shared" si="8"/>
        <v>0</v>
      </c>
      <c r="M103" s="65"/>
    </row>
    <row r="104" spans="2:13" s="30" customFormat="1" ht="18" customHeight="1" x14ac:dyDescent="0.25">
      <c r="B104" s="31"/>
      <c r="C104" s="31"/>
      <c r="D104" s="32"/>
      <c r="E104" s="84"/>
      <c r="F104" s="33"/>
      <c r="G104" s="28"/>
      <c r="H104" s="28"/>
      <c r="I104" s="34"/>
      <c r="J104" s="90">
        <f t="shared" si="7"/>
        <v>0</v>
      </c>
      <c r="K104" s="100"/>
      <c r="L104" s="65">
        <f t="shared" si="8"/>
        <v>0</v>
      </c>
      <c r="M104" s="65"/>
    </row>
    <row r="105" spans="2:13" s="30" customFormat="1" ht="18" customHeight="1" x14ac:dyDescent="0.25">
      <c r="B105" s="31"/>
      <c r="C105" s="31"/>
      <c r="D105" s="32"/>
      <c r="E105" s="84"/>
      <c r="F105" s="33"/>
      <c r="G105" s="28"/>
      <c r="H105" s="28"/>
      <c r="I105" s="34"/>
      <c r="J105" s="90">
        <f t="shared" si="7"/>
        <v>0</v>
      </c>
      <c r="K105" s="100"/>
      <c r="L105" s="65">
        <f t="shared" si="8"/>
        <v>0</v>
      </c>
      <c r="M105" s="65"/>
    </row>
    <row r="106" spans="2:13" s="30" customFormat="1" ht="18" customHeight="1" x14ac:dyDescent="0.25">
      <c r="B106" s="31"/>
      <c r="C106" s="31"/>
      <c r="D106" s="32"/>
      <c r="E106" s="84"/>
      <c r="F106" s="33"/>
      <c r="G106" s="28"/>
      <c r="H106" s="28"/>
      <c r="I106" s="34"/>
      <c r="J106" s="90">
        <f t="shared" si="7"/>
        <v>0</v>
      </c>
      <c r="K106" s="100"/>
      <c r="L106" s="65">
        <f t="shared" si="8"/>
        <v>0</v>
      </c>
      <c r="M106" s="65"/>
    </row>
    <row r="107" spans="2:13" s="30" customFormat="1" ht="18" customHeight="1" x14ac:dyDescent="0.25">
      <c r="B107" s="31"/>
      <c r="C107" s="31"/>
      <c r="D107" s="32"/>
      <c r="E107" s="84"/>
      <c r="F107" s="33"/>
      <c r="G107" s="28"/>
      <c r="H107" s="28"/>
      <c r="I107" s="34"/>
      <c r="J107" s="90">
        <f t="shared" si="7"/>
        <v>0</v>
      </c>
      <c r="K107" s="100"/>
      <c r="L107" s="65">
        <f t="shared" si="8"/>
        <v>0</v>
      </c>
      <c r="M107" s="65"/>
    </row>
    <row r="108" spans="2:13" s="30" customFormat="1" ht="18" customHeight="1" x14ac:dyDescent="0.25">
      <c r="B108" s="31"/>
      <c r="C108" s="31"/>
      <c r="D108" s="32"/>
      <c r="E108" s="84"/>
      <c r="F108" s="33"/>
      <c r="G108" s="28"/>
      <c r="H108" s="28"/>
      <c r="I108" s="34"/>
      <c r="J108" s="90">
        <f t="shared" si="7"/>
        <v>0</v>
      </c>
      <c r="K108" s="100"/>
      <c r="L108" s="65">
        <f t="shared" si="8"/>
        <v>0</v>
      </c>
      <c r="M108" s="65"/>
    </row>
    <row r="109" spans="2:13" s="30" customFormat="1" ht="18" customHeight="1" x14ac:dyDescent="0.25">
      <c r="B109" s="31"/>
      <c r="C109" s="31"/>
      <c r="D109" s="32"/>
      <c r="E109" s="84"/>
      <c r="F109" s="33"/>
      <c r="G109" s="28"/>
      <c r="H109" s="28"/>
      <c r="I109" s="34"/>
      <c r="J109" s="90">
        <f t="shared" si="7"/>
        <v>0</v>
      </c>
      <c r="K109" s="100"/>
      <c r="L109" s="65">
        <f t="shared" si="8"/>
        <v>0</v>
      </c>
      <c r="M109" s="65"/>
    </row>
    <row r="110" spans="2:13" s="30" customFormat="1" ht="18" customHeight="1" x14ac:dyDescent="0.25">
      <c r="B110" s="31"/>
      <c r="C110" s="31"/>
      <c r="D110" s="32"/>
      <c r="E110" s="84"/>
      <c r="F110" s="33"/>
      <c r="G110" s="28"/>
      <c r="H110" s="28"/>
      <c r="I110" s="34"/>
      <c r="J110" s="90">
        <f t="shared" si="7"/>
        <v>0</v>
      </c>
      <c r="K110" s="100"/>
      <c r="L110" s="65">
        <f t="shared" si="8"/>
        <v>0</v>
      </c>
      <c r="M110" s="65"/>
    </row>
    <row r="111" spans="2:13" s="30" customFormat="1" ht="18" customHeight="1" x14ac:dyDescent="0.25">
      <c r="B111" s="31"/>
      <c r="C111" s="31"/>
      <c r="D111" s="32"/>
      <c r="E111" s="84"/>
      <c r="F111" s="33"/>
      <c r="G111" s="28"/>
      <c r="H111" s="28"/>
      <c r="I111" s="34"/>
      <c r="J111" s="90">
        <f t="shared" si="7"/>
        <v>0</v>
      </c>
      <c r="K111" s="100"/>
      <c r="L111" s="65">
        <f t="shared" si="8"/>
        <v>0</v>
      </c>
      <c r="M111" s="65"/>
    </row>
    <row r="112" spans="2:13" s="30" customFormat="1" ht="18" customHeight="1" x14ac:dyDescent="0.25">
      <c r="B112" s="31"/>
      <c r="C112" s="31"/>
      <c r="D112" s="32"/>
      <c r="E112" s="84"/>
      <c r="F112" s="33"/>
      <c r="G112" s="28"/>
      <c r="H112" s="28"/>
      <c r="I112" s="34"/>
      <c r="J112" s="90">
        <f t="shared" si="7"/>
        <v>0</v>
      </c>
      <c r="K112" s="100"/>
      <c r="L112" s="65">
        <f t="shared" si="8"/>
        <v>0</v>
      </c>
      <c r="M112" s="65"/>
    </row>
    <row r="113" spans="2:13" s="30" customFormat="1" ht="18" customHeight="1" x14ac:dyDescent="0.25">
      <c r="B113" s="31"/>
      <c r="C113" s="31"/>
      <c r="D113" s="32"/>
      <c r="E113" s="84"/>
      <c r="F113" s="33"/>
      <c r="G113" s="28"/>
      <c r="H113" s="28"/>
      <c r="I113" s="34"/>
      <c r="J113" s="90">
        <f t="shared" si="7"/>
        <v>0</v>
      </c>
      <c r="K113" s="100"/>
      <c r="L113" s="65">
        <f t="shared" si="8"/>
        <v>0</v>
      </c>
      <c r="M113" s="65"/>
    </row>
    <row r="114" spans="2:13" s="30" customFormat="1" ht="18" customHeight="1" x14ac:dyDescent="0.25">
      <c r="B114" s="31"/>
      <c r="C114" s="31"/>
      <c r="D114" s="32"/>
      <c r="E114" s="84"/>
      <c r="F114" s="33"/>
      <c r="G114" s="28"/>
      <c r="H114" s="28"/>
      <c r="I114" s="34"/>
      <c r="J114" s="90">
        <f t="shared" si="7"/>
        <v>0</v>
      </c>
      <c r="K114" s="100"/>
      <c r="L114" s="65">
        <f t="shared" si="8"/>
        <v>0</v>
      </c>
      <c r="M114" s="65"/>
    </row>
    <row r="115" spans="2:13" s="30" customFormat="1" ht="18" customHeight="1" x14ac:dyDescent="0.25">
      <c r="B115" s="31"/>
      <c r="C115" s="31"/>
      <c r="D115" s="32"/>
      <c r="E115" s="84"/>
      <c r="F115" s="33"/>
      <c r="G115" s="28"/>
      <c r="H115" s="28"/>
      <c r="I115" s="34"/>
      <c r="J115" s="90">
        <f t="shared" si="7"/>
        <v>0</v>
      </c>
      <c r="K115" s="100"/>
      <c r="L115" s="65">
        <f t="shared" si="8"/>
        <v>0</v>
      </c>
      <c r="M115" s="65"/>
    </row>
    <row r="116" spans="2:13" s="30" customFormat="1" ht="18" customHeight="1" x14ac:dyDescent="0.25">
      <c r="B116" s="31"/>
      <c r="C116" s="31"/>
      <c r="D116" s="32"/>
      <c r="E116" s="84"/>
      <c r="F116" s="33"/>
      <c r="G116" s="28"/>
      <c r="H116" s="28"/>
      <c r="I116" s="34"/>
      <c r="J116" s="90">
        <f t="shared" si="7"/>
        <v>0</v>
      </c>
      <c r="K116" s="100"/>
      <c r="L116" s="65">
        <f t="shared" si="8"/>
        <v>0</v>
      </c>
      <c r="M116" s="65"/>
    </row>
    <row r="117" spans="2:13" s="30" customFormat="1" ht="18" customHeight="1" x14ac:dyDescent="0.25">
      <c r="B117" s="31"/>
      <c r="C117" s="31"/>
      <c r="D117" s="32"/>
      <c r="E117" s="84"/>
      <c r="F117" s="33"/>
      <c r="G117" s="28"/>
      <c r="H117" s="28"/>
      <c r="I117" s="34"/>
      <c r="J117" s="90">
        <f t="shared" si="7"/>
        <v>0</v>
      </c>
      <c r="K117" s="100"/>
      <c r="L117" s="65">
        <f t="shared" si="8"/>
        <v>0</v>
      </c>
      <c r="M117" s="65"/>
    </row>
    <row r="118" spans="2:13" s="30" customFormat="1" ht="18" customHeight="1" x14ac:dyDescent="0.25">
      <c r="B118" s="31"/>
      <c r="C118" s="31"/>
      <c r="D118" s="32"/>
      <c r="E118" s="84"/>
      <c r="F118" s="33"/>
      <c r="G118" s="28"/>
      <c r="H118" s="28"/>
      <c r="I118" s="34"/>
      <c r="J118" s="90">
        <f t="shared" si="7"/>
        <v>0</v>
      </c>
      <c r="K118" s="100"/>
      <c r="L118" s="65">
        <f t="shared" si="8"/>
        <v>0</v>
      </c>
      <c r="M118" s="65"/>
    </row>
    <row r="119" spans="2:13" s="30" customFormat="1" ht="18" customHeight="1" x14ac:dyDescent="0.25">
      <c r="B119" s="31"/>
      <c r="C119" s="31"/>
      <c r="D119" s="32"/>
      <c r="E119" s="84"/>
      <c r="F119" s="33"/>
      <c r="G119" s="28"/>
      <c r="H119" s="28"/>
      <c r="I119" s="34"/>
      <c r="J119" s="90">
        <f t="shared" si="7"/>
        <v>0</v>
      </c>
      <c r="K119" s="100"/>
      <c r="L119" s="65">
        <f t="shared" si="8"/>
        <v>0</v>
      </c>
      <c r="M119" s="65"/>
    </row>
    <row r="120" spans="2:13" s="30" customFormat="1" ht="18" customHeight="1" x14ac:dyDescent="0.25">
      <c r="B120" s="31"/>
      <c r="C120" s="31"/>
      <c r="D120" s="32"/>
      <c r="E120" s="84"/>
      <c r="F120" s="33"/>
      <c r="G120" s="28"/>
      <c r="H120" s="28"/>
      <c r="I120" s="34"/>
      <c r="J120" s="90">
        <f t="shared" si="7"/>
        <v>0</v>
      </c>
      <c r="K120" s="100"/>
      <c r="L120" s="65">
        <f t="shared" si="8"/>
        <v>0</v>
      </c>
      <c r="M120" s="65"/>
    </row>
    <row r="121" spans="2:13" s="30" customFormat="1" ht="18" customHeight="1" x14ac:dyDescent="0.25">
      <c r="B121" s="31"/>
      <c r="C121" s="31"/>
      <c r="D121" s="32"/>
      <c r="E121" s="84"/>
      <c r="F121" s="33"/>
      <c r="G121" s="28"/>
      <c r="H121" s="28"/>
      <c r="I121" s="34"/>
      <c r="J121" s="90">
        <f t="shared" si="7"/>
        <v>0</v>
      </c>
      <c r="K121" s="100"/>
      <c r="L121" s="65">
        <f t="shared" si="8"/>
        <v>0</v>
      </c>
      <c r="M121" s="65"/>
    </row>
    <row r="122" spans="2:13" s="30" customFormat="1" ht="18" customHeight="1" x14ac:dyDescent="0.25">
      <c r="B122" s="31"/>
      <c r="C122" s="31"/>
      <c r="D122" s="32"/>
      <c r="E122" s="84"/>
      <c r="F122" s="33"/>
      <c r="G122" s="28"/>
      <c r="H122" s="28"/>
      <c r="I122" s="34"/>
      <c r="J122" s="90">
        <f t="shared" si="7"/>
        <v>0</v>
      </c>
      <c r="K122" s="100"/>
      <c r="L122" s="65">
        <f t="shared" si="8"/>
        <v>0</v>
      </c>
      <c r="M122" s="65"/>
    </row>
    <row r="123" spans="2:13" s="30" customFormat="1" ht="18" customHeight="1" x14ac:dyDescent="0.25">
      <c r="B123" s="31"/>
      <c r="C123" s="31"/>
      <c r="D123" s="32"/>
      <c r="E123" s="84"/>
      <c r="F123" s="33"/>
      <c r="G123" s="28"/>
      <c r="H123" s="28"/>
      <c r="I123" s="34"/>
      <c r="J123" s="90">
        <f t="shared" si="7"/>
        <v>0</v>
      </c>
      <c r="K123" s="100"/>
      <c r="L123" s="65">
        <f t="shared" si="8"/>
        <v>0</v>
      </c>
      <c r="M123" s="65"/>
    </row>
    <row r="124" spans="2:13" s="30" customFormat="1" ht="18" customHeight="1" x14ac:dyDescent="0.25">
      <c r="B124" s="31"/>
      <c r="C124" s="31"/>
      <c r="D124" s="32"/>
      <c r="E124" s="84"/>
      <c r="F124" s="33"/>
      <c r="G124" s="28"/>
      <c r="H124" s="28"/>
      <c r="I124" s="34"/>
      <c r="J124" s="90">
        <f t="shared" si="7"/>
        <v>0</v>
      </c>
      <c r="K124" s="100"/>
      <c r="L124" s="65">
        <f t="shared" si="8"/>
        <v>0</v>
      </c>
      <c r="M124" s="65"/>
    </row>
    <row r="125" spans="2:13" s="30" customFormat="1" ht="18" customHeight="1" x14ac:dyDescent="0.25">
      <c r="B125" s="31"/>
      <c r="C125" s="31"/>
      <c r="D125" s="32"/>
      <c r="E125" s="84"/>
      <c r="F125" s="33"/>
      <c r="G125" s="28"/>
      <c r="H125" s="28"/>
      <c r="I125" s="34"/>
      <c r="J125" s="90">
        <f t="shared" si="7"/>
        <v>0</v>
      </c>
      <c r="K125" s="100"/>
      <c r="L125" s="65">
        <f t="shared" si="8"/>
        <v>0</v>
      </c>
      <c r="M125" s="65"/>
    </row>
    <row r="126" spans="2:13" s="30" customFormat="1" ht="18" customHeight="1" x14ac:dyDescent="0.25">
      <c r="B126" s="31"/>
      <c r="C126" s="31"/>
      <c r="D126" s="32"/>
      <c r="E126" s="84"/>
      <c r="F126" s="33"/>
      <c r="G126" s="28"/>
      <c r="H126" s="28"/>
      <c r="I126" s="34"/>
      <c r="J126" s="90">
        <f t="shared" si="7"/>
        <v>0</v>
      </c>
      <c r="K126" s="100"/>
      <c r="L126" s="65">
        <f t="shared" si="8"/>
        <v>0</v>
      </c>
      <c r="M126" s="65"/>
    </row>
    <row r="127" spans="2:13" s="30" customFormat="1" ht="18" customHeight="1" x14ac:dyDescent="0.25">
      <c r="B127" s="31"/>
      <c r="C127" s="31"/>
      <c r="D127" s="32"/>
      <c r="E127" s="84"/>
      <c r="F127" s="33"/>
      <c r="G127" s="28"/>
      <c r="H127" s="28"/>
      <c r="I127" s="34"/>
      <c r="J127" s="90">
        <f t="shared" si="7"/>
        <v>0</v>
      </c>
      <c r="K127" s="100"/>
      <c r="L127" s="65">
        <f t="shared" si="8"/>
        <v>0</v>
      </c>
      <c r="M127" s="65"/>
    </row>
    <row r="128" spans="2:13" s="30" customFormat="1" ht="18" customHeight="1" x14ac:dyDescent="0.25">
      <c r="B128" s="31"/>
      <c r="C128" s="31"/>
      <c r="D128" s="32"/>
      <c r="E128" s="84"/>
      <c r="F128" s="33"/>
      <c r="G128" s="28"/>
      <c r="H128" s="28"/>
      <c r="I128" s="34"/>
      <c r="J128" s="90">
        <f t="shared" si="7"/>
        <v>0</v>
      </c>
      <c r="K128" s="100"/>
      <c r="L128" s="65">
        <f t="shared" si="8"/>
        <v>0</v>
      </c>
      <c r="M128" s="65"/>
    </row>
    <row r="129" spans="2:13" s="30" customFormat="1" ht="18" customHeight="1" x14ac:dyDescent="0.25">
      <c r="B129" s="31"/>
      <c r="C129" s="31"/>
      <c r="D129" s="32"/>
      <c r="E129" s="84"/>
      <c r="F129" s="33"/>
      <c r="G129" s="28"/>
      <c r="H129" s="28"/>
      <c r="I129" s="34"/>
      <c r="J129" s="90">
        <f t="shared" si="7"/>
        <v>0</v>
      </c>
      <c r="K129" s="100"/>
      <c r="L129" s="65">
        <f t="shared" si="8"/>
        <v>0</v>
      </c>
      <c r="M129" s="65"/>
    </row>
    <row r="130" spans="2:13" s="30" customFormat="1" ht="18" customHeight="1" x14ac:dyDescent="0.25">
      <c r="B130" s="31"/>
      <c r="C130" s="31"/>
      <c r="D130" s="32"/>
      <c r="E130" s="84"/>
      <c r="F130" s="33"/>
      <c r="G130" s="28"/>
      <c r="H130" s="28"/>
      <c r="I130" s="34"/>
      <c r="J130" s="90">
        <f t="shared" si="7"/>
        <v>0</v>
      </c>
      <c r="K130" s="100"/>
      <c r="L130" s="65">
        <f t="shared" si="8"/>
        <v>0</v>
      </c>
      <c r="M130" s="65"/>
    </row>
    <row r="131" spans="2:13" s="30" customFormat="1" ht="18" customHeight="1" x14ac:dyDescent="0.25">
      <c r="B131" s="31"/>
      <c r="C131" s="31"/>
      <c r="D131" s="32"/>
      <c r="E131" s="84"/>
      <c r="F131" s="33"/>
      <c r="G131" s="28"/>
      <c r="H131" s="28"/>
      <c r="I131" s="34"/>
      <c r="J131" s="90">
        <f t="shared" si="7"/>
        <v>0</v>
      </c>
      <c r="K131" s="100"/>
      <c r="L131" s="65">
        <f t="shared" si="8"/>
        <v>0</v>
      </c>
      <c r="M131" s="65"/>
    </row>
    <row r="132" spans="2:13" s="30" customFormat="1" ht="18" customHeight="1" x14ac:dyDescent="0.25">
      <c r="B132" s="31"/>
      <c r="C132" s="31"/>
      <c r="D132" s="32"/>
      <c r="E132" s="84"/>
      <c r="F132" s="33"/>
      <c r="G132" s="28"/>
      <c r="H132" s="28"/>
      <c r="I132" s="34"/>
      <c r="J132" s="90">
        <f t="shared" si="7"/>
        <v>0</v>
      </c>
      <c r="K132" s="100"/>
      <c r="L132" s="65">
        <f t="shared" si="8"/>
        <v>0</v>
      </c>
      <c r="M132" s="65"/>
    </row>
    <row r="133" spans="2:13" s="30" customFormat="1" ht="18" customHeight="1" x14ac:dyDescent="0.25">
      <c r="B133" s="31"/>
      <c r="C133" s="31"/>
      <c r="D133" s="32"/>
      <c r="E133" s="84"/>
      <c r="F133" s="33"/>
      <c r="G133" s="28"/>
      <c r="H133" s="28"/>
      <c r="I133" s="34"/>
      <c r="J133" s="90">
        <f t="shared" si="7"/>
        <v>0</v>
      </c>
      <c r="K133" s="100"/>
      <c r="L133" s="65">
        <f t="shared" si="8"/>
        <v>0</v>
      </c>
      <c r="M133" s="65"/>
    </row>
    <row r="134" spans="2:13" s="30" customFormat="1" ht="18" customHeight="1" x14ac:dyDescent="0.25">
      <c r="B134" s="31"/>
      <c r="C134" s="31"/>
      <c r="D134" s="32"/>
      <c r="E134" s="84"/>
      <c r="F134" s="33"/>
      <c r="G134" s="28"/>
      <c r="H134" s="28"/>
      <c r="I134" s="34"/>
      <c r="J134" s="90">
        <f t="shared" si="7"/>
        <v>0</v>
      </c>
      <c r="K134" s="100"/>
      <c r="L134" s="65">
        <f t="shared" ref="L134:L165" si="9">+H134+K134-F134</f>
        <v>0</v>
      </c>
      <c r="M134" s="65"/>
    </row>
    <row r="135" spans="2:13" s="30" customFormat="1" ht="18" customHeight="1" x14ac:dyDescent="0.25">
      <c r="B135" s="31"/>
      <c r="C135" s="31"/>
      <c r="D135" s="32"/>
      <c r="E135" s="84"/>
      <c r="F135" s="33"/>
      <c r="G135" s="28"/>
      <c r="H135" s="28"/>
      <c r="I135" s="34"/>
      <c r="J135" s="90">
        <f t="shared" si="7"/>
        <v>0</v>
      </c>
      <c r="K135" s="100"/>
      <c r="L135" s="65">
        <f t="shared" si="9"/>
        <v>0</v>
      </c>
      <c r="M135" s="65"/>
    </row>
    <row r="136" spans="2:13" s="30" customFormat="1" ht="18" customHeight="1" x14ac:dyDescent="0.25">
      <c r="B136" s="31"/>
      <c r="C136" s="31"/>
      <c r="D136" s="32"/>
      <c r="E136" s="84"/>
      <c r="F136" s="33"/>
      <c r="G136" s="28"/>
      <c r="H136" s="28"/>
      <c r="I136" s="34"/>
      <c r="J136" s="90">
        <f t="shared" si="7"/>
        <v>0</v>
      </c>
      <c r="K136" s="100"/>
      <c r="L136" s="65">
        <f t="shared" si="9"/>
        <v>0</v>
      </c>
      <c r="M136" s="65"/>
    </row>
    <row r="137" spans="2:13" s="30" customFormat="1" ht="18" customHeight="1" x14ac:dyDescent="0.25">
      <c r="B137" s="31"/>
      <c r="C137" s="31"/>
      <c r="D137" s="32"/>
      <c r="E137" s="84"/>
      <c r="F137" s="33"/>
      <c r="G137" s="28"/>
      <c r="H137" s="28"/>
      <c r="I137" s="34"/>
      <c r="J137" s="90">
        <f t="shared" si="7"/>
        <v>0</v>
      </c>
      <c r="K137" s="100"/>
      <c r="L137" s="65">
        <f t="shared" si="9"/>
        <v>0</v>
      </c>
      <c r="M137" s="65"/>
    </row>
    <row r="138" spans="2:13" s="30" customFormat="1" ht="18" customHeight="1" x14ac:dyDescent="0.25">
      <c r="B138" s="31"/>
      <c r="C138" s="31"/>
      <c r="D138" s="32"/>
      <c r="E138" s="84"/>
      <c r="F138" s="33"/>
      <c r="G138" s="28"/>
      <c r="H138" s="28"/>
      <c r="I138" s="34"/>
      <c r="J138" s="90">
        <f t="shared" si="7"/>
        <v>0</v>
      </c>
      <c r="K138" s="100"/>
      <c r="L138" s="65">
        <f t="shared" si="9"/>
        <v>0</v>
      </c>
      <c r="M138" s="65"/>
    </row>
    <row r="139" spans="2:13" s="30" customFormat="1" ht="18" customHeight="1" x14ac:dyDescent="0.25">
      <c r="B139" s="31"/>
      <c r="C139" s="31"/>
      <c r="D139" s="32"/>
      <c r="E139" s="84"/>
      <c r="F139" s="33"/>
      <c r="G139" s="28"/>
      <c r="H139" s="28"/>
      <c r="I139" s="34"/>
      <c r="J139" s="90">
        <f t="shared" si="7"/>
        <v>0</v>
      </c>
      <c r="K139" s="100"/>
      <c r="L139" s="65">
        <f t="shared" si="9"/>
        <v>0</v>
      </c>
      <c r="M139" s="65"/>
    </row>
    <row r="140" spans="2:13" s="30" customFormat="1" ht="18" customHeight="1" x14ac:dyDescent="0.25">
      <c r="B140" s="31"/>
      <c r="C140" s="31"/>
      <c r="D140" s="32"/>
      <c r="E140" s="84"/>
      <c r="F140" s="33"/>
      <c r="G140" s="28"/>
      <c r="H140" s="28"/>
      <c r="I140" s="34"/>
      <c r="J140" s="90">
        <f t="shared" si="7"/>
        <v>0</v>
      </c>
      <c r="K140" s="100"/>
      <c r="L140" s="65">
        <f t="shared" si="9"/>
        <v>0</v>
      </c>
      <c r="M140" s="65"/>
    </row>
    <row r="141" spans="2:13" s="30" customFormat="1" ht="18" customHeight="1" x14ac:dyDescent="0.25">
      <c r="B141" s="31"/>
      <c r="C141" s="31"/>
      <c r="D141" s="32"/>
      <c r="E141" s="84"/>
      <c r="F141" s="33"/>
      <c r="G141" s="28"/>
      <c r="H141" s="28"/>
      <c r="I141" s="34"/>
      <c r="J141" s="90">
        <f t="shared" si="7"/>
        <v>0</v>
      </c>
      <c r="K141" s="100"/>
      <c r="L141" s="65">
        <f t="shared" si="9"/>
        <v>0</v>
      </c>
      <c r="M141" s="65"/>
    </row>
    <row r="142" spans="2:13" s="30" customFormat="1" ht="18" customHeight="1" x14ac:dyDescent="0.25">
      <c r="B142" s="31"/>
      <c r="C142" s="31"/>
      <c r="D142" s="32"/>
      <c r="E142" s="84"/>
      <c r="F142" s="33"/>
      <c r="G142" s="28"/>
      <c r="H142" s="28"/>
      <c r="I142" s="34"/>
      <c r="J142" s="90">
        <f t="shared" si="7"/>
        <v>0</v>
      </c>
      <c r="K142" s="100"/>
      <c r="L142" s="65">
        <f t="shared" si="9"/>
        <v>0</v>
      </c>
      <c r="M142" s="65"/>
    </row>
    <row r="143" spans="2:13" s="30" customFormat="1" ht="18" customHeight="1" x14ac:dyDescent="0.25">
      <c r="B143" s="31"/>
      <c r="C143" s="31"/>
      <c r="D143" s="32"/>
      <c r="E143" s="84"/>
      <c r="F143" s="33"/>
      <c r="G143" s="28"/>
      <c r="H143" s="28"/>
      <c r="I143" s="34"/>
      <c r="J143" s="90">
        <f t="shared" si="7"/>
        <v>0</v>
      </c>
      <c r="K143" s="100"/>
      <c r="L143" s="65">
        <f t="shared" si="9"/>
        <v>0</v>
      </c>
      <c r="M143" s="65"/>
    </row>
    <row r="144" spans="2:13" s="30" customFormat="1" ht="18" customHeight="1" x14ac:dyDescent="0.25">
      <c r="B144" s="31"/>
      <c r="C144" s="31"/>
      <c r="D144" s="32"/>
      <c r="E144" s="84"/>
      <c r="F144" s="33"/>
      <c r="G144" s="28"/>
      <c r="H144" s="28"/>
      <c r="I144" s="34"/>
      <c r="J144" s="90">
        <f t="shared" si="7"/>
        <v>0</v>
      </c>
      <c r="K144" s="100"/>
      <c r="L144" s="65">
        <f t="shared" si="9"/>
        <v>0</v>
      </c>
      <c r="M144" s="65"/>
    </row>
    <row r="145" spans="2:13" s="30" customFormat="1" ht="18" customHeight="1" x14ac:dyDescent="0.25">
      <c r="B145" s="31"/>
      <c r="C145" s="31"/>
      <c r="D145" s="32"/>
      <c r="E145" s="84"/>
      <c r="F145" s="33"/>
      <c r="G145" s="28"/>
      <c r="H145" s="28"/>
      <c r="I145" s="34"/>
      <c r="J145" s="90">
        <f t="shared" si="7"/>
        <v>0</v>
      </c>
      <c r="K145" s="100"/>
      <c r="L145" s="65">
        <f t="shared" si="9"/>
        <v>0</v>
      </c>
      <c r="M145" s="65"/>
    </row>
    <row r="146" spans="2:13" s="30" customFormat="1" ht="18" customHeight="1" x14ac:dyDescent="0.25">
      <c r="B146" s="31"/>
      <c r="C146" s="31"/>
      <c r="D146" s="32"/>
      <c r="E146" s="84"/>
      <c r="F146" s="33"/>
      <c r="G146" s="28"/>
      <c r="H146" s="28"/>
      <c r="I146" s="34"/>
      <c r="J146" s="90">
        <f t="shared" si="7"/>
        <v>0</v>
      </c>
      <c r="K146" s="100"/>
      <c r="L146" s="65">
        <f t="shared" si="9"/>
        <v>0</v>
      </c>
      <c r="M146" s="65"/>
    </row>
    <row r="147" spans="2:13" s="30" customFormat="1" ht="18" customHeight="1" x14ac:dyDescent="0.25">
      <c r="B147" s="31"/>
      <c r="C147" s="31"/>
      <c r="D147" s="32"/>
      <c r="E147" s="84"/>
      <c r="F147" s="33"/>
      <c r="G147" s="28"/>
      <c r="H147" s="28"/>
      <c r="I147" s="34"/>
      <c r="J147" s="90">
        <f t="shared" si="7"/>
        <v>0</v>
      </c>
      <c r="K147" s="100"/>
      <c r="L147" s="65">
        <f t="shared" si="9"/>
        <v>0</v>
      </c>
      <c r="M147" s="65"/>
    </row>
    <row r="148" spans="2:13" s="30" customFormat="1" ht="18" customHeight="1" x14ac:dyDescent="0.25">
      <c r="B148" s="31"/>
      <c r="C148" s="31"/>
      <c r="D148" s="32"/>
      <c r="E148" s="84"/>
      <c r="F148" s="33"/>
      <c r="G148" s="28"/>
      <c r="H148" s="28"/>
      <c r="I148" s="34"/>
      <c r="J148" s="90">
        <f t="shared" si="7"/>
        <v>0</v>
      </c>
      <c r="K148" s="100"/>
      <c r="L148" s="65">
        <f t="shared" si="9"/>
        <v>0</v>
      </c>
      <c r="M148" s="65"/>
    </row>
    <row r="149" spans="2:13" s="30" customFormat="1" ht="18" customHeight="1" x14ac:dyDescent="0.25">
      <c r="B149" s="31"/>
      <c r="C149" s="31"/>
      <c r="D149" s="32"/>
      <c r="E149" s="84"/>
      <c r="F149" s="33"/>
      <c r="G149" s="28"/>
      <c r="H149" s="28"/>
      <c r="I149" s="34"/>
      <c r="J149" s="90">
        <f t="shared" si="7"/>
        <v>0</v>
      </c>
      <c r="K149" s="100"/>
      <c r="L149" s="65">
        <f t="shared" si="9"/>
        <v>0</v>
      </c>
      <c r="M149" s="65"/>
    </row>
    <row r="150" spans="2:13" s="30" customFormat="1" ht="18" customHeight="1" x14ac:dyDescent="0.25">
      <c r="B150" s="31"/>
      <c r="C150" s="31"/>
      <c r="D150" s="32"/>
      <c r="E150" s="84"/>
      <c r="F150" s="33"/>
      <c r="G150" s="28"/>
      <c r="H150" s="28"/>
      <c r="I150" s="34"/>
      <c r="J150" s="90">
        <f t="shared" si="7"/>
        <v>0</v>
      </c>
      <c r="K150" s="100"/>
      <c r="L150" s="65">
        <f t="shared" si="9"/>
        <v>0</v>
      </c>
      <c r="M150" s="65"/>
    </row>
    <row r="151" spans="2:13" s="30" customFormat="1" ht="18" customHeight="1" x14ac:dyDescent="0.25">
      <c r="B151" s="31"/>
      <c r="C151" s="31"/>
      <c r="D151" s="32"/>
      <c r="E151" s="84"/>
      <c r="F151" s="33"/>
      <c r="G151" s="28"/>
      <c r="H151" s="28"/>
      <c r="I151" s="34"/>
      <c r="J151" s="90">
        <f t="shared" si="7"/>
        <v>0</v>
      </c>
      <c r="K151" s="100"/>
      <c r="L151" s="65">
        <f t="shared" si="9"/>
        <v>0</v>
      </c>
      <c r="M151" s="65"/>
    </row>
    <row r="152" spans="2:13" s="30" customFormat="1" ht="18" customHeight="1" x14ac:dyDescent="0.25">
      <c r="B152" s="31"/>
      <c r="C152" s="31"/>
      <c r="D152" s="32"/>
      <c r="E152" s="84"/>
      <c r="F152" s="33"/>
      <c r="G152" s="28"/>
      <c r="H152" s="28"/>
      <c r="I152" s="34"/>
      <c r="J152" s="90">
        <f t="shared" si="7"/>
        <v>0</v>
      </c>
      <c r="K152" s="100"/>
      <c r="L152" s="65">
        <f t="shared" si="9"/>
        <v>0</v>
      </c>
      <c r="M152" s="65"/>
    </row>
    <row r="153" spans="2:13" s="30" customFormat="1" ht="18" customHeight="1" x14ac:dyDescent="0.25">
      <c r="B153" s="31"/>
      <c r="C153" s="31"/>
      <c r="D153" s="32"/>
      <c r="E153" s="84"/>
      <c r="F153" s="33"/>
      <c r="G153" s="28"/>
      <c r="H153" s="28"/>
      <c r="I153" s="34"/>
      <c r="J153" s="90">
        <f t="shared" ref="J153:J201" si="10">I153*F153</f>
        <v>0</v>
      </c>
      <c r="K153" s="100"/>
      <c r="L153" s="65">
        <f t="shared" si="9"/>
        <v>0</v>
      </c>
      <c r="M153" s="65"/>
    </row>
    <row r="154" spans="2:13" s="30" customFormat="1" ht="18" customHeight="1" x14ac:dyDescent="0.25">
      <c r="B154" s="31"/>
      <c r="C154" s="31"/>
      <c r="D154" s="32"/>
      <c r="E154" s="84"/>
      <c r="F154" s="33"/>
      <c r="G154" s="28"/>
      <c r="H154" s="28"/>
      <c r="I154" s="34"/>
      <c r="J154" s="90">
        <f t="shared" si="10"/>
        <v>0</v>
      </c>
      <c r="K154" s="100"/>
      <c r="L154" s="65">
        <f t="shared" si="9"/>
        <v>0</v>
      </c>
      <c r="M154" s="65"/>
    </row>
    <row r="155" spans="2:13" s="30" customFormat="1" ht="18" customHeight="1" x14ac:dyDescent="0.25">
      <c r="B155" s="31"/>
      <c r="C155" s="31"/>
      <c r="D155" s="32"/>
      <c r="E155" s="84"/>
      <c r="F155" s="33"/>
      <c r="G155" s="28"/>
      <c r="H155" s="28"/>
      <c r="I155" s="34"/>
      <c r="J155" s="90">
        <f t="shared" si="10"/>
        <v>0</v>
      </c>
      <c r="K155" s="100"/>
      <c r="L155" s="65">
        <f t="shared" si="9"/>
        <v>0</v>
      </c>
      <c r="M155" s="65"/>
    </row>
    <row r="156" spans="2:13" s="30" customFormat="1" ht="18" customHeight="1" x14ac:dyDescent="0.25">
      <c r="B156" s="31"/>
      <c r="C156" s="31"/>
      <c r="D156" s="32"/>
      <c r="E156" s="84"/>
      <c r="F156" s="33"/>
      <c r="G156" s="28"/>
      <c r="H156" s="28"/>
      <c r="I156" s="34"/>
      <c r="J156" s="90">
        <f t="shared" si="10"/>
        <v>0</v>
      </c>
      <c r="K156" s="100"/>
      <c r="L156" s="65">
        <f t="shared" si="9"/>
        <v>0</v>
      </c>
      <c r="M156" s="65"/>
    </row>
    <row r="157" spans="2:13" s="30" customFormat="1" ht="18" customHeight="1" x14ac:dyDescent="0.25">
      <c r="B157" s="31"/>
      <c r="C157" s="31"/>
      <c r="D157" s="32"/>
      <c r="E157" s="84"/>
      <c r="F157" s="33"/>
      <c r="G157" s="28"/>
      <c r="H157" s="28"/>
      <c r="I157" s="34"/>
      <c r="J157" s="90">
        <f t="shared" si="10"/>
        <v>0</v>
      </c>
      <c r="K157" s="100"/>
      <c r="L157" s="65">
        <f t="shared" si="9"/>
        <v>0</v>
      </c>
      <c r="M157" s="65"/>
    </row>
    <row r="158" spans="2:13" s="30" customFormat="1" ht="18" customHeight="1" x14ac:dyDescent="0.25">
      <c r="B158" s="31"/>
      <c r="C158" s="31"/>
      <c r="D158" s="32"/>
      <c r="E158" s="84"/>
      <c r="F158" s="33"/>
      <c r="G158" s="28"/>
      <c r="H158" s="28"/>
      <c r="I158" s="34"/>
      <c r="J158" s="90">
        <f t="shared" si="10"/>
        <v>0</v>
      </c>
      <c r="K158" s="100"/>
      <c r="L158" s="65">
        <f t="shared" si="9"/>
        <v>0</v>
      </c>
      <c r="M158" s="65"/>
    </row>
    <row r="159" spans="2:13" s="30" customFormat="1" ht="18" customHeight="1" x14ac:dyDescent="0.25">
      <c r="B159" s="31"/>
      <c r="C159" s="31"/>
      <c r="D159" s="32"/>
      <c r="E159" s="84"/>
      <c r="F159" s="33"/>
      <c r="G159" s="28"/>
      <c r="H159" s="28"/>
      <c r="I159" s="34"/>
      <c r="J159" s="90">
        <f t="shared" si="10"/>
        <v>0</v>
      </c>
      <c r="K159" s="100"/>
      <c r="L159" s="65">
        <f t="shared" si="9"/>
        <v>0</v>
      </c>
      <c r="M159" s="65"/>
    </row>
    <row r="160" spans="2:13" s="30" customFormat="1" ht="18" customHeight="1" x14ac:dyDescent="0.25">
      <c r="B160" s="31"/>
      <c r="C160" s="31"/>
      <c r="D160" s="32"/>
      <c r="E160" s="84"/>
      <c r="F160" s="33"/>
      <c r="G160" s="28"/>
      <c r="H160" s="28"/>
      <c r="I160" s="34"/>
      <c r="J160" s="90">
        <f t="shared" si="10"/>
        <v>0</v>
      </c>
      <c r="K160" s="100"/>
      <c r="L160" s="65">
        <f t="shared" si="9"/>
        <v>0</v>
      </c>
      <c r="M160" s="65"/>
    </row>
    <row r="161" spans="2:13" s="30" customFormat="1" ht="18" customHeight="1" x14ac:dyDescent="0.25">
      <c r="B161" s="31"/>
      <c r="C161" s="31"/>
      <c r="D161" s="32"/>
      <c r="E161" s="84"/>
      <c r="F161" s="33"/>
      <c r="G161" s="28"/>
      <c r="H161" s="28"/>
      <c r="I161" s="34"/>
      <c r="J161" s="90">
        <f t="shared" si="10"/>
        <v>0</v>
      </c>
      <c r="K161" s="100"/>
      <c r="L161" s="65">
        <f t="shared" si="9"/>
        <v>0</v>
      </c>
      <c r="M161" s="65"/>
    </row>
    <row r="162" spans="2:13" s="30" customFormat="1" ht="18" customHeight="1" x14ac:dyDescent="0.25">
      <c r="B162" s="31"/>
      <c r="C162" s="31"/>
      <c r="D162" s="32"/>
      <c r="E162" s="84"/>
      <c r="F162" s="33"/>
      <c r="G162" s="28"/>
      <c r="H162" s="28"/>
      <c r="I162" s="34"/>
      <c r="J162" s="90">
        <f t="shared" si="10"/>
        <v>0</v>
      </c>
      <c r="K162" s="100"/>
      <c r="L162" s="65">
        <f t="shared" si="9"/>
        <v>0</v>
      </c>
      <c r="M162" s="65"/>
    </row>
    <row r="163" spans="2:13" s="30" customFormat="1" ht="18" customHeight="1" x14ac:dyDescent="0.25">
      <c r="B163" s="31"/>
      <c r="C163" s="31"/>
      <c r="D163" s="32"/>
      <c r="E163" s="84"/>
      <c r="F163" s="33"/>
      <c r="G163" s="28"/>
      <c r="H163" s="28"/>
      <c r="I163" s="34"/>
      <c r="J163" s="90">
        <f t="shared" si="10"/>
        <v>0</v>
      </c>
      <c r="K163" s="100"/>
      <c r="L163" s="65">
        <f t="shared" si="9"/>
        <v>0</v>
      </c>
      <c r="M163" s="65"/>
    </row>
    <row r="164" spans="2:13" s="30" customFormat="1" ht="18" customHeight="1" x14ac:dyDescent="0.25">
      <c r="B164" s="31"/>
      <c r="C164" s="31"/>
      <c r="D164" s="32"/>
      <c r="E164" s="84"/>
      <c r="F164" s="33"/>
      <c r="G164" s="28"/>
      <c r="H164" s="28"/>
      <c r="I164" s="34"/>
      <c r="J164" s="90">
        <f t="shared" si="10"/>
        <v>0</v>
      </c>
      <c r="K164" s="100"/>
      <c r="L164" s="65">
        <f t="shared" si="9"/>
        <v>0</v>
      </c>
      <c r="M164" s="65"/>
    </row>
    <row r="165" spans="2:13" s="30" customFormat="1" ht="18" customHeight="1" x14ac:dyDescent="0.25">
      <c r="B165" s="31"/>
      <c r="C165" s="31"/>
      <c r="D165" s="32"/>
      <c r="E165" s="84"/>
      <c r="F165" s="33"/>
      <c r="G165" s="28"/>
      <c r="H165" s="28"/>
      <c r="I165" s="34"/>
      <c r="J165" s="90">
        <f t="shared" si="10"/>
        <v>0</v>
      </c>
      <c r="K165" s="100"/>
      <c r="L165" s="65">
        <f t="shared" si="9"/>
        <v>0</v>
      </c>
      <c r="M165" s="65"/>
    </row>
    <row r="166" spans="2:13" s="30" customFormat="1" ht="18" customHeight="1" x14ac:dyDescent="0.25">
      <c r="B166" s="31"/>
      <c r="C166" s="31"/>
      <c r="D166" s="32"/>
      <c r="E166" s="84"/>
      <c r="F166" s="33"/>
      <c r="G166" s="28"/>
      <c r="H166" s="28"/>
      <c r="I166" s="34"/>
      <c r="J166" s="90">
        <f t="shared" si="10"/>
        <v>0</v>
      </c>
      <c r="K166" s="100"/>
      <c r="L166" s="65">
        <f t="shared" ref="L166:L197" si="11">+H166+K166-F166</f>
        <v>0</v>
      </c>
      <c r="M166" s="65"/>
    </row>
    <row r="167" spans="2:13" s="30" customFormat="1" ht="18" customHeight="1" x14ac:dyDescent="0.25">
      <c r="B167" s="31"/>
      <c r="C167" s="31"/>
      <c r="D167" s="32"/>
      <c r="E167" s="84"/>
      <c r="F167" s="33"/>
      <c r="G167" s="28"/>
      <c r="H167" s="28"/>
      <c r="I167" s="34"/>
      <c r="J167" s="90">
        <f t="shared" si="10"/>
        <v>0</v>
      </c>
      <c r="K167" s="100"/>
      <c r="L167" s="65">
        <f t="shared" si="11"/>
        <v>0</v>
      </c>
      <c r="M167" s="65"/>
    </row>
    <row r="168" spans="2:13" s="30" customFormat="1" ht="18" customHeight="1" x14ac:dyDescent="0.25">
      <c r="B168" s="31"/>
      <c r="C168" s="31"/>
      <c r="D168" s="32"/>
      <c r="E168" s="84"/>
      <c r="F168" s="33"/>
      <c r="G168" s="28"/>
      <c r="H168" s="28"/>
      <c r="I168" s="34"/>
      <c r="J168" s="90">
        <f t="shared" si="10"/>
        <v>0</v>
      </c>
      <c r="K168" s="100"/>
      <c r="L168" s="65">
        <f t="shared" si="11"/>
        <v>0</v>
      </c>
      <c r="M168" s="65"/>
    </row>
    <row r="169" spans="2:13" s="30" customFormat="1" ht="18" customHeight="1" x14ac:dyDescent="0.25">
      <c r="B169" s="31"/>
      <c r="C169" s="31"/>
      <c r="D169" s="32"/>
      <c r="E169" s="84"/>
      <c r="F169" s="33"/>
      <c r="G169" s="28"/>
      <c r="H169" s="28"/>
      <c r="I169" s="34"/>
      <c r="J169" s="90">
        <f t="shared" si="10"/>
        <v>0</v>
      </c>
      <c r="K169" s="100"/>
      <c r="L169" s="65">
        <f t="shared" si="11"/>
        <v>0</v>
      </c>
      <c r="M169" s="65"/>
    </row>
    <row r="170" spans="2:13" s="30" customFormat="1" ht="18" customHeight="1" x14ac:dyDescent="0.25">
      <c r="B170" s="31"/>
      <c r="C170" s="31"/>
      <c r="D170" s="32"/>
      <c r="E170" s="84"/>
      <c r="F170" s="33"/>
      <c r="G170" s="28"/>
      <c r="H170" s="28"/>
      <c r="I170" s="34"/>
      <c r="J170" s="90">
        <f t="shared" si="10"/>
        <v>0</v>
      </c>
      <c r="K170" s="100"/>
      <c r="L170" s="65">
        <f t="shared" si="11"/>
        <v>0</v>
      </c>
      <c r="M170" s="65"/>
    </row>
    <row r="171" spans="2:13" s="30" customFormat="1" ht="18" customHeight="1" x14ac:dyDescent="0.25">
      <c r="B171" s="31"/>
      <c r="C171" s="31"/>
      <c r="D171" s="32"/>
      <c r="E171" s="84"/>
      <c r="F171" s="33"/>
      <c r="G171" s="28"/>
      <c r="H171" s="28"/>
      <c r="I171" s="34"/>
      <c r="J171" s="90">
        <f t="shared" si="10"/>
        <v>0</v>
      </c>
      <c r="K171" s="100"/>
      <c r="L171" s="65">
        <f t="shared" si="11"/>
        <v>0</v>
      </c>
      <c r="M171" s="65"/>
    </row>
    <row r="172" spans="2:13" s="30" customFormat="1" ht="18" customHeight="1" x14ac:dyDescent="0.25">
      <c r="B172" s="31"/>
      <c r="C172" s="31"/>
      <c r="D172" s="32"/>
      <c r="E172" s="84"/>
      <c r="F172" s="33"/>
      <c r="G172" s="28"/>
      <c r="H172" s="28"/>
      <c r="I172" s="34"/>
      <c r="J172" s="90">
        <f t="shared" si="10"/>
        <v>0</v>
      </c>
      <c r="K172" s="100"/>
      <c r="L172" s="65">
        <f t="shared" si="11"/>
        <v>0</v>
      </c>
      <c r="M172" s="65"/>
    </row>
    <row r="173" spans="2:13" s="30" customFormat="1" ht="18" customHeight="1" x14ac:dyDescent="0.25">
      <c r="B173" s="31"/>
      <c r="C173" s="31"/>
      <c r="D173" s="32"/>
      <c r="E173" s="84"/>
      <c r="F173" s="33"/>
      <c r="G173" s="28"/>
      <c r="H173" s="28"/>
      <c r="I173" s="34"/>
      <c r="J173" s="90">
        <f t="shared" si="10"/>
        <v>0</v>
      </c>
      <c r="K173" s="100"/>
      <c r="L173" s="65">
        <f t="shared" si="11"/>
        <v>0</v>
      </c>
      <c r="M173" s="65"/>
    </row>
    <row r="174" spans="2:13" s="30" customFormat="1" ht="18" customHeight="1" x14ac:dyDescent="0.25">
      <c r="B174" s="31"/>
      <c r="C174" s="31"/>
      <c r="D174" s="32"/>
      <c r="E174" s="84"/>
      <c r="F174" s="33"/>
      <c r="G174" s="28"/>
      <c r="H174" s="28"/>
      <c r="I174" s="34"/>
      <c r="J174" s="90">
        <f t="shared" si="10"/>
        <v>0</v>
      </c>
      <c r="K174" s="100"/>
      <c r="L174" s="65">
        <f t="shared" si="11"/>
        <v>0</v>
      </c>
      <c r="M174" s="65"/>
    </row>
    <row r="175" spans="2:13" s="30" customFormat="1" ht="18" customHeight="1" x14ac:dyDescent="0.25">
      <c r="B175" s="31"/>
      <c r="C175" s="31"/>
      <c r="D175" s="32"/>
      <c r="E175" s="84"/>
      <c r="F175" s="33"/>
      <c r="G175" s="28"/>
      <c r="H175" s="28"/>
      <c r="I175" s="34"/>
      <c r="J175" s="90">
        <f t="shared" si="10"/>
        <v>0</v>
      </c>
      <c r="K175" s="100"/>
      <c r="L175" s="65">
        <f t="shared" si="11"/>
        <v>0</v>
      </c>
      <c r="M175" s="65"/>
    </row>
    <row r="176" spans="2:13" s="30" customFormat="1" ht="18" customHeight="1" x14ac:dyDescent="0.25">
      <c r="B176" s="31"/>
      <c r="C176" s="31"/>
      <c r="D176" s="32"/>
      <c r="E176" s="84"/>
      <c r="F176" s="33"/>
      <c r="G176" s="28"/>
      <c r="H176" s="28"/>
      <c r="I176" s="34"/>
      <c r="J176" s="90">
        <f t="shared" si="10"/>
        <v>0</v>
      </c>
      <c r="K176" s="100"/>
      <c r="L176" s="65">
        <f t="shared" si="11"/>
        <v>0</v>
      </c>
      <c r="M176" s="65"/>
    </row>
    <row r="177" spans="2:13" s="30" customFormat="1" ht="18" customHeight="1" x14ac:dyDescent="0.25">
      <c r="B177" s="31"/>
      <c r="C177" s="31"/>
      <c r="D177" s="32"/>
      <c r="E177" s="84"/>
      <c r="F177" s="33"/>
      <c r="G177" s="28"/>
      <c r="H177" s="28"/>
      <c r="I177" s="34"/>
      <c r="J177" s="90">
        <f t="shared" si="10"/>
        <v>0</v>
      </c>
      <c r="K177" s="100"/>
      <c r="L177" s="65">
        <f t="shared" si="11"/>
        <v>0</v>
      </c>
      <c r="M177" s="65"/>
    </row>
    <row r="178" spans="2:13" s="30" customFormat="1" ht="18" customHeight="1" x14ac:dyDescent="0.25">
      <c r="B178" s="31"/>
      <c r="C178" s="31"/>
      <c r="D178" s="32"/>
      <c r="E178" s="84"/>
      <c r="F178" s="33"/>
      <c r="G178" s="28"/>
      <c r="H178" s="28"/>
      <c r="I178" s="34"/>
      <c r="J178" s="90">
        <f t="shared" si="10"/>
        <v>0</v>
      </c>
      <c r="K178" s="100"/>
      <c r="L178" s="65">
        <f t="shared" si="11"/>
        <v>0</v>
      </c>
      <c r="M178" s="65"/>
    </row>
    <row r="179" spans="2:13" s="30" customFormat="1" ht="18" customHeight="1" x14ac:dyDescent="0.25">
      <c r="B179" s="31"/>
      <c r="C179" s="31"/>
      <c r="D179" s="32"/>
      <c r="E179" s="84"/>
      <c r="F179" s="33"/>
      <c r="G179" s="28"/>
      <c r="H179" s="28"/>
      <c r="I179" s="34"/>
      <c r="J179" s="90">
        <f t="shared" si="10"/>
        <v>0</v>
      </c>
      <c r="K179" s="100"/>
      <c r="L179" s="65">
        <f t="shared" si="11"/>
        <v>0</v>
      </c>
      <c r="M179" s="65"/>
    </row>
    <row r="180" spans="2:13" s="30" customFormat="1" ht="18" customHeight="1" x14ac:dyDescent="0.25">
      <c r="B180" s="31"/>
      <c r="C180" s="31"/>
      <c r="D180" s="32"/>
      <c r="E180" s="84"/>
      <c r="F180" s="33"/>
      <c r="G180" s="28"/>
      <c r="H180" s="28"/>
      <c r="I180" s="34"/>
      <c r="J180" s="90">
        <f t="shared" si="10"/>
        <v>0</v>
      </c>
      <c r="K180" s="100"/>
      <c r="L180" s="65">
        <f t="shared" si="11"/>
        <v>0</v>
      </c>
      <c r="M180" s="65"/>
    </row>
    <row r="181" spans="2:13" s="30" customFormat="1" ht="18" customHeight="1" x14ac:dyDescent="0.25">
      <c r="B181" s="31"/>
      <c r="C181" s="31"/>
      <c r="D181" s="32"/>
      <c r="E181" s="84"/>
      <c r="F181" s="33"/>
      <c r="G181" s="28"/>
      <c r="H181" s="28"/>
      <c r="I181" s="34"/>
      <c r="J181" s="90">
        <f t="shared" si="10"/>
        <v>0</v>
      </c>
      <c r="K181" s="100"/>
      <c r="L181" s="65">
        <f t="shared" si="11"/>
        <v>0</v>
      </c>
      <c r="M181" s="65"/>
    </row>
    <row r="182" spans="2:13" s="30" customFormat="1" ht="18" customHeight="1" x14ac:dyDescent="0.25">
      <c r="B182" s="31"/>
      <c r="C182" s="31"/>
      <c r="D182" s="32"/>
      <c r="E182" s="84"/>
      <c r="F182" s="33"/>
      <c r="G182" s="28"/>
      <c r="H182" s="28"/>
      <c r="I182" s="34"/>
      <c r="J182" s="90">
        <f t="shared" si="10"/>
        <v>0</v>
      </c>
      <c r="K182" s="100"/>
      <c r="L182" s="65">
        <f t="shared" si="11"/>
        <v>0</v>
      </c>
      <c r="M182" s="65"/>
    </row>
    <row r="183" spans="2:13" s="30" customFormat="1" ht="18" customHeight="1" x14ac:dyDescent="0.25">
      <c r="B183" s="31"/>
      <c r="C183" s="31"/>
      <c r="D183" s="32"/>
      <c r="E183" s="84"/>
      <c r="F183" s="33"/>
      <c r="G183" s="28"/>
      <c r="H183" s="28"/>
      <c r="I183" s="34"/>
      <c r="J183" s="90">
        <f t="shared" si="10"/>
        <v>0</v>
      </c>
      <c r="K183" s="100"/>
      <c r="L183" s="65">
        <f t="shared" si="11"/>
        <v>0</v>
      </c>
      <c r="M183" s="65"/>
    </row>
    <row r="184" spans="2:13" s="30" customFormat="1" ht="18" customHeight="1" x14ac:dyDescent="0.25">
      <c r="B184" s="31"/>
      <c r="C184" s="31"/>
      <c r="D184" s="32"/>
      <c r="E184" s="84"/>
      <c r="F184" s="33"/>
      <c r="G184" s="28"/>
      <c r="H184" s="28"/>
      <c r="I184" s="34"/>
      <c r="J184" s="90">
        <f t="shared" si="10"/>
        <v>0</v>
      </c>
      <c r="K184" s="100"/>
      <c r="L184" s="65">
        <f t="shared" si="11"/>
        <v>0</v>
      </c>
      <c r="M184" s="65"/>
    </row>
    <row r="185" spans="2:13" s="30" customFormat="1" ht="18" customHeight="1" x14ac:dyDescent="0.25">
      <c r="B185" s="31"/>
      <c r="C185" s="31"/>
      <c r="D185" s="32"/>
      <c r="E185" s="84"/>
      <c r="F185" s="33"/>
      <c r="G185" s="28"/>
      <c r="H185" s="28"/>
      <c r="I185" s="34"/>
      <c r="J185" s="90">
        <f t="shared" si="10"/>
        <v>0</v>
      </c>
      <c r="K185" s="100"/>
      <c r="L185" s="65">
        <f t="shared" si="11"/>
        <v>0</v>
      </c>
      <c r="M185" s="65"/>
    </row>
    <row r="186" spans="2:13" s="30" customFormat="1" ht="18" customHeight="1" x14ac:dyDescent="0.25">
      <c r="B186" s="31"/>
      <c r="C186" s="31"/>
      <c r="D186" s="32"/>
      <c r="E186" s="84"/>
      <c r="F186" s="33"/>
      <c r="G186" s="28"/>
      <c r="H186" s="28"/>
      <c r="I186" s="34"/>
      <c r="J186" s="90">
        <f t="shared" si="10"/>
        <v>0</v>
      </c>
      <c r="K186" s="100"/>
      <c r="L186" s="65">
        <f t="shared" si="11"/>
        <v>0</v>
      </c>
      <c r="M186" s="65"/>
    </row>
    <row r="187" spans="2:13" s="30" customFormat="1" ht="18" customHeight="1" x14ac:dyDescent="0.25">
      <c r="B187" s="31"/>
      <c r="C187" s="31"/>
      <c r="D187" s="32"/>
      <c r="E187" s="84"/>
      <c r="F187" s="33"/>
      <c r="G187" s="28"/>
      <c r="H187" s="28"/>
      <c r="I187" s="34"/>
      <c r="J187" s="90">
        <f t="shared" si="10"/>
        <v>0</v>
      </c>
      <c r="K187" s="100"/>
      <c r="L187" s="65">
        <f t="shared" si="11"/>
        <v>0</v>
      </c>
      <c r="M187" s="65"/>
    </row>
    <row r="188" spans="2:13" s="30" customFormat="1" ht="18" customHeight="1" x14ac:dyDescent="0.25">
      <c r="B188" s="31"/>
      <c r="C188" s="31"/>
      <c r="D188" s="32"/>
      <c r="E188" s="84"/>
      <c r="F188" s="33"/>
      <c r="G188" s="28"/>
      <c r="H188" s="28"/>
      <c r="I188" s="34"/>
      <c r="J188" s="90">
        <f t="shared" si="10"/>
        <v>0</v>
      </c>
      <c r="K188" s="100"/>
      <c r="L188" s="65">
        <f t="shared" si="11"/>
        <v>0</v>
      </c>
      <c r="M188" s="65"/>
    </row>
    <row r="189" spans="2:13" s="30" customFormat="1" ht="18" customHeight="1" x14ac:dyDescent="0.25">
      <c r="B189" s="31"/>
      <c r="C189" s="31"/>
      <c r="D189" s="32"/>
      <c r="E189" s="84"/>
      <c r="F189" s="33"/>
      <c r="G189" s="28"/>
      <c r="H189" s="28"/>
      <c r="I189" s="34"/>
      <c r="J189" s="90">
        <f t="shared" si="10"/>
        <v>0</v>
      </c>
      <c r="K189" s="100"/>
      <c r="L189" s="65">
        <f t="shared" si="11"/>
        <v>0</v>
      </c>
      <c r="M189" s="65"/>
    </row>
    <row r="190" spans="2:13" s="30" customFormat="1" ht="18" customHeight="1" x14ac:dyDescent="0.25">
      <c r="B190" s="31"/>
      <c r="C190" s="31"/>
      <c r="D190" s="32"/>
      <c r="E190" s="84"/>
      <c r="F190" s="33"/>
      <c r="G190" s="28"/>
      <c r="H190" s="28"/>
      <c r="I190" s="34"/>
      <c r="J190" s="90">
        <f t="shared" si="10"/>
        <v>0</v>
      </c>
      <c r="K190" s="100"/>
      <c r="L190" s="65">
        <f t="shared" si="11"/>
        <v>0</v>
      </c>
      <c r="M190" s="65"/>
    </row>
    <row r="191" spans="2:13" s="30" customFormat="1" ht="18" customHeight="1" x14ac:dyDescent="0.25">
      <c r="B191" s="31"/>
      <c r="C191" s="31"/>
      <c r="D191" s="32"/>
      <c r="E191" s="84"/>
      <c r="F191" s="33"/>
      <c r="G191" s="28"/>
      <c r="H191" s="28"/>
      <c r="I191" s="34"/>
      <c r="J191" s="90">
        <f t="shared" si="10"/>
        <v>0</v>
      </c>
      <c r="K191" s="100"/>
      <c r="L191" s="65">
        <f t="shared" si="11"/>
        <v>0</v>
      </c>
      <c r="M191" s="65"/>
    </row>
    <row r="192" spans="2:13" s="30" customFormat="1" ht="18" customHeight="1" x14ac:dyDescent="0.25">
      <c r="B192" s="31"/>
      <c r="C192" s="31"/>
      <c r="D192" s="32"/>
      <c r="E192" s="84"/>
      <c r="F192" s="33"/>
      <c r="G192" s="28"/>
      <c r="H192" s="28"/>
      <c r="I192" s="34"/>
      <c r="J192" s="90">
        <f t="shared" si="10"/>
        <v>0</v>
      </c>
      <c r="K192" s="100"/>
      <c r="L192" s="65">
        <f t="shared" si="11"/>
        <v>0</v>
      </c>
      <c r="M192" s="65"/>
    </row>
    <row r="193" spans="2:13" s="30" customFormat="1" ht="18" customHeight="1" x14ac:dyDescent="0.25">
      <c r="B193" s="31"/>
      <c r="C193" s="31"/>
      <c r="D193" s="32"/>
      <c r="E193" s="84"/>
      <c r="F193" s="33"/>
      <c r="G193" s="28"/>
      <c r="H193" s="28"/>
      <c r="I193" s="34"/>
      <c r="J193" s="90">
        <f t="shared" si="10"/>
        <v>0</v>
      </c>
      <c r="K193" s="100"/>
      <c r="L193" s="65">
        <f t="shared" si="11"/>
        <v>0</v>
      </c>
      <c r="M193" s="65"/>
    </row>
    <row r="194" spans="2:13" s="30" customFormat="1" ht="18" customHeight="1" x14ac:dyDescent="0.25">
      <c r="B194" s="31"/>
      <c r="C194" s="31"/>
      <c r="D194" s="32"/>
      <c r="E194" s="84"/>
      <c r="F194" s="33"/>
      <c r="G194" s="28"/>
      <c r="H194" s="28"/>
      <c r="I194" s="34"/>
      <c r="J194" s="90">
        <f t="shared" si="10"/>
        <v>0</v>
      </c>
      <c r="K194" s="100"/>
      <c r="L194" s="65">
        <f t="shared" si="11"/>
        <v>0</v>
      </c>
      <c r="M194" s="65"/>
    </row>
    <row r="195" spans="2:13" s="30" customFormat="1" ht="18" customHeight="1" x14ac:dyDescent="0.25">
      <c r="B195" s="31"/>
      <c r="C195" s="31"/>
      <c r="D195" s="32"/>
      <c r="E195" s="84"/>
      <c r="F195" s="33"/>
      <c r="G195" s="28"/>
      <c r="H195" s="28"/>
      <c r="I195" s="34"/>
      <c r="J195" s="90">
        <f t="shared" si="10"/>
        <v>0</v>
      </c>
      <c r="K195" s="100"/>
      <c r="L195" s="65">
        <f t="shared" si="11"/>
        <v>0</v>
      </c>
      <c r="M195" s="65"/>
    </row>
    <row r="196" spans="2:13" s="30" customFormat="1" ht="18" customHeight="1" x14ac:dyDescent="0.25">
      <c r="B196" s="31"/>
      <c r="C196" s="31"/>
      <c r="D196" s="32"/>
      <c r="E196" s="84"/>
      <c r="F196" s="33"/>
      <c r="G196" s="28"/>
      <c r="H196" s="28"/>
      <c r="I196" s="34"/>
      <c r="J196" s="90">
        <f t="shared" si="10"/>
        <v>0</v>
      </c>
      <c r="K196" s="100"/>
      <c r="L196" s="65">
        <f t="shared" si="11"/>
        <v>0</v>
      </c>
      <c r="M196" s="65"/>
    </row>
    <row r="197" spans="2:13" s="30" customFormat="1" ht="18" customHeight="1" x14ac:dyDescent="0.25">
      <c r="B197" s="31"/>
      <c r="C197" s="31"/>
      <c r="D197" s="32"/>
      <c r="E197" s="84"/>
      <c r="F197" s="33"/>
      <c r="G197" s="28"/>
      <c r="H197" s="28"/>
      <c r="I197" s="34"/>
      <c r="J197" s="90">
        <f t="shared" si="10"/>
        <v>0</v>
      </c>
      <c r="K197" s="100"/>
      <c r="L197" s="65">
        <f t="shared" si="11"/>
        <v>0</v>
      </c>
      <c r="M197" s="65"/>
    </row>
    <row r="198" spans="2:13" s="30" customFormat="1" ht="18" customHeight="1" x14ac:dyDescent="0.25">
      <c r="B198" s="31"/>
      <c r="C198" s="31"/>
      <c r="D198" s="32"/>
      <c r="E198" s="84"/>
      <c r="F198" s="33"/>
      <c r="G198" s="28"/>
      <c r="H198" s="28"/>
      <c r="I198" s="34"/>
      <c r="J198" s="90">
        <f t="shared" si="10"/>
        <v>0</v>
      </c>
      <c r="K198" s="100"/>
      <c r="L198" s="65">
        <f t="shared" ref="L198:L201" si="12">+H198+K198-F198</f>
        <v>0</v>
      </c>
      <c r="M198" s="65"/>
    </row>
    <row r="199" spans="2:13" s="30" customFormat="1" ht="18" customHeight="1" x14ac:dyDescent="0.25">
      <c r="B199" s="31"/>
      <c r="C199" s="31"/>
      <c r="D199" s="32"/>
      <c r="E199" s="84"/>
      <c r="F199" s="33"/>
      <c r="G199" s="28"/>
      <c r="H199" s="28"/>
      <c r="I199" s="34"/>
      <c r="J199" s="90">
        <f t="shared" si="10"/>
        <v>0</v>
      </c>
      <c r="K199" s="100"/>
      <c r="L199" s="65">
        <f t="shared" si="12"/>
        <v>0</v>
      </c>
      <c r="M199" s="65"/>
    </row>
    <row r="200" spans="2:13" s="30" customFormat="1" ht="18" customHeight="1" x14ac:dyDescent="0.25">
      <c r="B200" s="31"/>
      <c r="C200" s="31"/>
      <c r="D200" s="32"/>
      <c r="E200" s="84"/>
      <c r="F200" s="33"/>
      <c r="G200" s="28"/>
      <c r="H200" s="28"/>
      <c r="I200" s="34"/>
      <c r="J200" s="90">
        <f t="shared" si="10"/>
        <v>0</v>
      </c>
      <c r="K200" s="100"/>
      <c r="L200" s="65">
        <f t="shared" si="12"/>
        <v>0</v>
      </c>
      <c r="M200" s="65"/>
    </row>
    <row r="201" spans="2:13" s="30" customFormat="1" ht="18" customHeight="1" x14ac:dyDescent="0.25">
      <c r="B201" s="31"/>
      <c r="C201" s="35"/>
      <c r="D201" s="36"/>
      <c r="E201" s="84"/>
      <c r="F201" s="37"/>
      <c r="G201" s="28"/>
      <c r="H201" s="28"/>
      <c r="I201" s="38"/>
      <c r="J201" s="90">
        <f t="shared" si="10"/>
        <v>0</v>
      </c>
      <c r="K201" s="100"/>
      <c r="L201" s="65">
        <f t="shared" si="12"/>
        <v>0</v>
      </c>
      <c r="M201" s="65"/>
    </row>
    <row r="202" spans="2:13" s="30" customFormat="1" ht="18" customHeight="1" x14ac:dyDescent="0.25">
      <c r="B202" s="39"/>
      <c r="C202" s="39"/>
      <c r="D202" s="40"/>
      <c r="E202" s="89"/>
      <c r="F202" s="41">
        <f>SUM(F6:F201)</f>
        <v>0</v>
      </c>
      <c r="G202" s="42"/>
      <c r="H202" s="41">
        <f>SUM(H6:H201)</f>
        <v>0</v>
      </c>
      <c r="I202" s="66"/>
      <c r="J202" s="91">
        <f t="shared" ref="J202" si="13">I202*F202</f>
        <v>0</v>
      </c>
      <c r="K202" s="101"/>
      <c r="L202" s="41">
        <f>SUM(L6:L201)</f>
        <v>0</v>
      </c>
      <c r="M202" s="78"/>
    </row>
    <row r="203" spans="2:13" x14ac:dyDescent="0.25">
      <c r="B203" s="43" t="s">
        <v>15</v>
      </c>
      <c r="C203" s="57"/>
      <c r="D203" s="2"/>
      <c r="F203" s="3"/>
      <c r="G203" s="13" t="s">
        <v>16</v>
      </c>
      <c r="H203" s="13"/>
      <c r="J203" s="94">
        <f>SUM(J6:J13)</f>
        <v>0</v>
      </c>
      <c r="K203" s="73"/>
    </row>
    <row r="204" spans="2:13" ht="19.350000000000001" customHeight="1" x14ac:dyDescent="0.25">
      <c r="B204" s="44" t="s">
        <v>17</v>
      </c>
      <c r="C204" s="58"/>
      <c r="D204" s="45"/>
      <c r="E204" s="16"/>
      <c r="F204" s="3"/>
      <c r="G204" s="2" t="s">
        <v>18</v>
      </c>
      <c r="J204" s="96"/>
      <c r="K204" s="74"/>
    </row>
    <row r="205" spans="2:13" ht="19.350000000000001" customHeight="1" x14ac:dyDescent="0.25">
      <c r="B205" s="44" t="s">
        <v>19</v>
      </c>
      <c r="C205" s="58"/>
      <c r="D205" s="45"/>
      <c r="E205" s="16"/>
      <c r="F205" s="3"/>
      <c r="G205" s="13" t="s">
        <v>20</v>
      </c>
      <c r="H205" s="13"/>
      <c r="J205" s="94">
        <v>0</v>
      </c>
      <c r="K205" s="73"/>
    </row>
    <row r="206" spans="2:13" ht="19.350000000000001" customHeight="1" x14ac:dyDescent="0.25">
      <c r="B206" s="44" t="s">
        <v>21</v>
      </c>
      <c r="C206" s="58"/>
      <c r="D206" s="45"/>
      <c r="E206" s="16"/>
      <c r="F206" s="3"/>
      <c r="G206" s="13" t="s">
        <v>22</v>
      </c>
      <c r="H206" s="13"/>
      <c r="J206" s="96"/>
      <c r="K206" s="74"/>
    </row>
    <row r="207" spans="2:13" ht="19.350000000000001" customHeight="1" x14ac:dyDescent="0.25">
      <c r="B207" s="44" t="s">
        <v>23</v>
      </c>
      <c r="C207" s="58"/>
      <c r="D207" s="45"/>
      <c r="E207" s="16"/>
      <c r="F207" s="3"/>
      <c r="G207" s="13" t="s">
        <v>24</v>
      </c>
      <c r="H207" s="13"/>
      <c r="J207" s="94">
        <v>16800</v>
      </c>
      <c r="K207" s="73"/>
    </row>
    <row r="208" spans="2:13" ht="19.350000000000001" customHeight="1" x14ac:dyDescent="0.25">
      <c r="B208" s="44" t="s">
        <v>25</v>
      </c>
      <c r="C208" s="58"/>
      <c r="D208" s="45"/>
      <c r="E208" s="16"/>
      <c r="F208" s="3"/>
      <c r="G208" s="13" t="s">
        <v>26</v>
      </c>
      <c r="H208" s="13"/>
      <c r="J208" s="96"/>
      <c r="K208" s="74"/>
    </row>
    <row r="209" spans="2:13" ht="19.350000000000001" customHeight="1" x14ac:dyDescent="0.25">
      <c r="B209" s="44" t="s">
        <v>27</v>
      </c>
      <c r="C209" s="58"/>
      <c r="D209" s="45"/>
      <c r="E209" s="16"/>
      <c r="F209" s="3"/>
      <c r="G209" s="13" t="s">
        <v>28</v>
      </c>
      <c r="H209" s="13"/>
      <c r="J209" s="94">
        <f>J212-J207</f>
        <v>1176</v>
      </c>
      <c r="K209" s="73"/>
    </row>
    <row r="210" spans="2:13" ht="19.350000000000001" customHeight="1" x14ac:dyDescent="0.25">
      <c r="B210" s="44" t="s">
        <v>29</v>
      </c>
      <c r="C210" s="58"/>
      <c r="D210" s="45"/>
      <c r="E210" s="16"/>
      <c r="F210" s="3"/>
      <c r="G210" s="13" t="s">
        <v>30</v>
      </c>
      <c r="H210" s="13"/>
      <c r="J210" s="95"/>
      <c r="K210" s="75"/>
    </row>
    <row r="211" spans="2:13" ht="19.350000000000001" customHeight="1" x14ac:dyDescent="0.25">
      <c r="B211" s="44" t="s">
        <v>31</v>
      </c>
      <c r="C211" s="58"/>
      <c r="F211" s="3"/>
      <c r="G211" s="2" t="s">
        <v>32</v>
      </c>
      <c r="J211" s="93"/>
      <c r="K211" s="73"/>
      <c r="M211" s="76"/>
    </row>
    <row r="212" spans="2:13" ht="19.350000000000001" customHeight="1" x14ac:dyDescent="0.25">
      <c r="B212" s="44" t="s">
        <v>33</v>
      </c>
      <c r="C212" s="58"/>
      <c r="F212" s="3"/>
      <c r="G212" s="2" t="s">
        <v>34</v>
      </c>
      <c r="J212" s="94">
        <f>J207*107/100</f>
        <v>17976</v>
      </c>
      <c r="K212" s="73"/>
    </row>
    <row r="213" spans="2:13" ht="6.75" customHeight="1" thickBot="1" x14ac:dyDescent="0.3">
      <c r="B213" s="46" t="s">
        <v>35</v>
      </c>
      <c r="C213" s="59"/>
      <c r="D213" s="7"/>
      <c r="E213" s="8"/>
      <c r="F213" s="18"/>
      <c r="G213" s="8"/>
      <c r="H213" s="8"/>
      <c r="I213" s="9"/>
      <c r="J213" s="8"/>
    </row>
    <row r="214" spans="2:13" ht="19.5" customHeight="1" thickTop="1" x14ac:dyDescent="0.25">
      <c r="B214" s="47" t="s">
        <v>36</v>
      </c>
      <c r="C214" s="16"/>
      <c r="F214" s="109" t="s">
        <v>37</v>
      </c>
      <c r="G214" s="110"/>
      <c r="H214" s="14"/>
      <c r="I214" s="2" t="s">
        <v>38</v>
      </c>
    </row>
    <row r="215" spans="2:13" ht="19.5" customHeight="1" x14ac:dyDescent="0.25">
      <c r="B215" s="47" t="s">
        <v>39</v>
      </c>
      <c r="C215" s="16"/>
      <c r="F215" s="111" t="s">
        <v>40</v>
      </c>
      <c r="G215" s="112"/>
      <c r="H215" s="48"/>
      <c r="I215" s="17" t="s">
        <v>41</v>
      </c>
      <c r="J215" s="17"/>
    </row>
    <row r="216" spans="2:13" ht="16.5" customHeight="1" x14ac:dyDescent="0.25">
      <c r="B216" s="47" t="s">
        <v>42</v>
      </c>
      <c r="C216" s="16"/>
      <c r="F216" s="1" t="s">
        <v>43</v>
      </c>
      <c r="G216" s="49"/>
      <c r="H216" s="49"/>
      <c r="I216" s="106" t="s">
        <v>44</v>
      </c>
      <c r="J216" s="106"/>
      <c r="K216" s="71"/>
    </row>
    <row r="217" spans="2:13" ht="16.5" customHeight="1" x14ac:dyDescent="0.45">
      <c r="B217" s="47"/>
      <c r="C217" s="16"/>
      <c r="F217" s="107" t="s">
        <v>45</v>
      </c>
      <c r="G217" s="108"/>
      <c r="H217" s="60"/>
      <c r="I217" s="4"/>
      <c r="J217" s="50"/>
      <c r="K217" s="72"/>
    </row>
    <row r="218" spans="2:13" ht="30.75" customHeight="1" x14ac:dyDescent="0.25">
      <c r="B218" s="47" t="s">
        <v>46</v>
      </c>
      <c r="C218" s="16"/>
      <c r="F218" s="15"/>
    </row>
    <row r="219" spans="2:13" ht="6" customHeight="1" x14ac:dyDescent="0.25">
      <c r="B219" s="3"/>
      <c r="F219" s="3"/>
    </row>
    <row r="220" spans="2:13" ht="14.25" customHeight="1" x14ac:dyDescent="0.25">
      <c r="B220" s="3"/>
      <c r="F220" s="3" t="s">
        <v>47</v>
      </c>
      <c r="G220" s="2" t="s">
        <v>48</v>
      </c>
      <c r="J220" s="30" t="s">
        <v>49</v>
      </c>
    </row>
    <row r="221" spans="2:13" ht="6" customHeight="1" x14ac:dyDescent="0.25">
      <c r="B221" s="51" t="s">
        <v>0</v>
      </c>
      <c r="C221" s="17"/>
      <c r="D221" s="48"/>
      <c r="E221" s="17"/>
      <c r="F221" s="51"/>
      <c r="G221" s="17"/>
      <c r="H221" s="17"/>
      <c r="I221" s="17"/>
      <c r="J221" s="17"/>
    </row>
    <row r="222" spans="2:13" ht="6" customHeight="1" x14ac:dyDescent="0.25"/>
    <row r="233" spans="6:6" x14ac:dyDescent="0.25">
      <c r="F233" s="6"/>
    </row>
    <row r="234" spans="6:6" x14ac:dyDescent="0.25">
      <c r="F234" s="6"/>
    </row>
    <row r="235" spans="6:6" x14ac:dyDescent="0.25">
      <c r="F235" s="6"/>
    </row>
    <row r="236" spans="6:6" x14ac:dyDescent="0.25">
      <c r="F236" s="6"/>
    </row>
    <row r="237" spans="6:6" x14ac:dyDescent="0.25">
      <c r="F237" s="6"/>
    </row>
    <row r="238" spans="6:6" x14ac:dyDescent="0.25">
      <c r="F238" s="6"/>
    </row>
    <row r="239" spans="6:6" x14ac:dyDescent="0.25">
      <c r="F239" s="53"/>
    </row>
    <row r="240" spans="6:6" x14ac:dyDescent="0.25">
      <c r="F240" s="54"/>
    </row>
    <row r="241" spans="6:6" x14ac:dyDescent="0.25">
      <c r="F241" s="6"/>
    </row>
    <row r="242" spans="6:6" x14ac:dyDescent="0.25">
      <c r="F242" s="55"/>
    </row>
    <row r="243" spans="6:6" x14ac:dyDescent="0.25">
      <c r="F243" s="52"/>
    </row>
  </sheetData>
  <mergeCells count="4">
    <mergeCell ref="I216:J216"/>
    <mergeCell ref="F217:G217"/>
    <mergeCell ref="F214:G214"/>
    <mergeCell ref="F215:G215"/>
  </mergeCells>
  <conditionalFormatting sqref="F20:F21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สายรุ้ง เเก้วสังข์</dc:creator>
  <cp:lastModifiedBy>สายรุ้ง เเก้วสังข์</cp:lastModifiedBy>
  <dcterms:created xsi:type="dcterms:W3CDTF">2026-08-16T04:15:06Z</dcterms:created>
  <dcterms:modified xsi:type="dcterms:W3CDTF">2026-09-20T14:59:09Z</dcterms:modified>
</cp:coreProperties>
</file>